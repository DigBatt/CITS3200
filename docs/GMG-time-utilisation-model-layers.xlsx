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kingacma/Projects/FMS_Dashboard/docs/"/>
    </mc:Choice>
  </mc:AlternateContent>
  <xr:revisionPtr revIDLastSave="0" documentId="11_9D12C38A588999CDE1FE28C2D9BCE7EDA719FB5A" xr6:coauthVersionLast="47" xr6:coauthVersionMax="47" xr10:uidLastSave="{00000000-0000-0000-0000-000000000000}"/>
  <bookViews>
    <workbookView xWindow="0" yWindow="660" windowWidth="30240" windowHeight="18980" xr2:uid="{00000000-000D-0000-FFFF-FFFF00000000}"/>
  </bookViews>
  <sheets>
    <sheet name="Overview" sheetId="1" r:id="rId1"/>
    <sheet name="Layers" sheetId="2" r:id="rId2"/>
    <sheet name="KPIs" sheetId="3" r:id="rId3"/>
    <sheet name="Fields" sheetId="4" r:id="rId4"/>
    <sheet name="Future inputs" sheetId="5" r:id="rId5"/>
    <sheet name="Parameters" sheetId="6" r:id="rId6"/>
    <sheet name="Classification" sheetId="7" r:id="rId7"/>
    <sheet name="Summary" sheetId="8" r:id="rId8"/>
  </sheets>
  <definedNames>
    <definedName name="_xlnm._FilterDatabase" localSheetId="6" hidden="1">Classification!$A$1:$S$440</definedName>
    <definedName name="AT_s">Summary!$D$9</definedName>
    <definedName name="CT_s">Summary!$D$5</definedName>
    <definedName name="DELAY_DWELL_S">Parameters!$B$10</definedName>
    <definedName name="DEPOT_LAT">Parameters!$B$6</definedName>
    <definedName name="DEPOT_LON">Parameters!$B$7</definedName>
    <definedName name="DEPOT_RADIUS_M">Parameters!$B$8</definedName>
    <definedName name="DT_s">Summary!$D$8</definedName>
    <definedName name="MAX_GAP_S">Parameters!$B$11</definedName>
    <definedName name="NP_s">Summary!$D$14</definedName>
    <definedName name="OD_s">Summary!$D$12</definedName>
    <definedName name="OT_s">Summary!$D$11</definedName>
    <definedName name="PT_s">Summary!$D$15</definedName>
    <definedName name="SB_s">Summary!$D$10</definedName>
    <definedName name="SERVICE_END">Parameters!$B$13</definedName>
    <definedName name="SERVICE_LAST_WEEKDAY">Parameters!$B$14</definedName>
    <definedName name="SERVICE_START">Parameters!$B$12</definedName>
    <definedName name="SPEED_STOP_MPS">Parameters!$B$5</definedName>
    <definedName name="ST_s">Summary!$D$7</definedName>
    <definedName name="STANDBY_DWELL_S">Parameters!$B$9</definedName>
    <definedName name="UNOBS_s">Summary!$D$18</definedName>
    <definedName name="UNOBS_SB_s">Summary!$D$20</definedName>
    <definedName name="UNOBS_UT_s">Summary!$D$19</definedName>
    <definedName name="UT_s">Summary!$D$6</definedName>
    <definedName name="UTC_OFFSET_H">Parameters!$B$15</definedName>
    <definedName name="WINDOW_END">Parameters!$B$17</definedName>
    <definedName name="WINDOW_START">Parameters!$B$16</definedName>
    <definedName name="WT_s">Summary!$D$13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8" l="1"/>
  <c r="N440" i="7"/>
  <c r="M440" i="7"/>
  <c r="K440" i="7"/>
  <c r="J440" i="7"/>
  <c r="I440" i="7"/>
  <c r="L440" i="7" s="1"/>
  <c r="C440" i="7"/>
  <c r="B440" i="7"/>
  <c r="M439" i="7"/>
  <c r="L439" i="7"/>
  <c r="K439" i="7"/>
  <c r="I439" i="7"/>
  <c r="H439" i="7"/>
  <c r="N439" i="7" s="1"/>
  <c r="B439" i="7"/>
  <c r="C439" i="7" s="1"/>
  <c r="J439" i="7" s="1"/>
  <c r="N438" i="7"/>
  <c r="M438" i="7"/>
  <c r="L438" i="7"/>
  <c r="K438" i="7"/>
  <c r="I438" i="7"/>
  <c r="H438" i="7"/>
  <c r="B438" i="7"/>
  <c r="C438" i="7" s="1"/>
  <c r="J438" i="7" s="1"/>
  <c r="M437" i="7"/>
  <c r="L437" i="7"/>
  <c r="K437" i="7"/>
  <c r="I437" i="7"/>
  <c r="B437" i="7"/>
  <c r="H436" i="7" s="1"/>
  <c r="N436" i="7" s="1"/>
  <c r="M436" i="7"/>
  <c r="K436" i="7"/>
  <c r="J436" i="7"/>
  <c r="I436" i="7"/>
  <c r="L436" i="7" s="1"/>
  <c r="C436" i="7"/>
  <c r="B436" i="7"/>
  <c r="N435" i="7"/>
  <c r="M435" i="7"/>
  <c r="L435" i="7"/>
  <c r="K435" i="7"/>
  <c r="J435" i="7"/>
  <c r="I435" i="7"/>
  <c r="H435" i="7"/>
  <c r="C435" i="7"/>
  <c r="B435" i="7"/>
  <c r="M434" i="7"/>
  <c r="K434" i="7"/>
  <c r="I434" i="7"/>
  <c r="L434" i="7" s="1"/>
  <c r="C434" i="7"/>
  <c r="J434" i="7" s="1"/>
  <c r="B434" i="7"/>
  <c r="H434" i="7" s="1"/>
  <c r="N434" i="7" s="1"/>
  <c r="M433" i="7"/>
  <c r="K433" i="7"/>
  <c r="J433" i="7"/>
  <c r="I433" i="7"/>
  <c r="L433" i="7" s="1"/>
  <c r="C433" i="7"/>
  <c r="B433" i="7"/>
  <c r="M432" i="7"/>
  <c r="L432" i="7"/>
  <c r="K432" i="7"/>
  <c r="J432" i="7"/>
  <c r="I432" i="7"/>
  <c r="H432" i="7"/>
  <c r="N432" i="7" s="1"/>
  <c r="C432" i="7"/>
  <c r="B432" i="7"/>
  <c r="M431" i="7"/>
  <c r="L431" i="7"/>
  <c r="K431" i="7"/>
  <c r="I431" i="7"/>
  <c r="B431" i="7"/>
  <c r="M430" i="7"/>
  <c r="K430" i="7"/>
  <c r="I430" i="7"/>
  <c r="L430" i="7" s="1"/>
  <c r="C430" i="7"/>
  <c r="J430" i="7" s="1"/>
  <c r="B430" i="7"/>
  <c r="N429" i="7"/>
  <c r="M429" i="7"/>
  <c r="L429" i="7"/>
  <c r="K429" i="7"/>
  <c r="J429" i="7"/>
  <c r="I429" i="7"/>
  <c r="H429" i="7"/>
  <c r="C429" i="7"/>
  <c r="B429" i="7"/>
  <c r="H428" i="7" s="1"/>
  <c r="N428" i="7" s="1"/>
  <c r="M428" i="7"/>
  <c r="L428" i="7"/>
  <c r="K428" i="7"/>
  <c r="I428" i="7"/>
  <c r="C428" i="7"/>
  <c r="J428" i="7" s="1"/>
  <c r="B428" i="7"/>
  <c r="M427" i="7"/>
  <c r="L427" i="7"/>
  <c r="K427" i="7"/>
  <c r="I427" i="7"/>
  <c r="B427" i="7"/>
  <c r="H426" i="7" s="1"/>
  <c r="N426" i="7" s="1"/>
  <c r="M426" i="7"/>
  <c r="K426" i="7"/>
  <c r="I426" i="7"/>
  <c r="L426" i="7" s="1"/>
  <c r="C426" i="7"/>
  <c r="J426" i="7" s="1"/>
  <c r="B426" i="7"/>
  <c r="H425" i="7" s="1"/>
  <c r="N425" i="7"/>
  <c r="M425" i="7"/>
  <c r="L425" i="7"/>
  <c r="K425" i="7"/>
  <c r="I425" i="7"/>
  <c r="B425" i="7"/>
  <c r="M424" i="7"/>
  <c r="K424" i="7"/>
  <c r="I424" i="7"/>
  <c r="L424" i="7" s="1"/>
  <c r="C424" i="7"/>
  <c r="J424" i="7" s="1"/>
  <c r="B424" i="7"/>
  <c r="M423" i="7"/>
  <c r="L423" i="7"/>
  <c r="K423" i="7"/>
  <c r="I423" i="7"/>
  <c r="B423" i="7"/>
  <c r="M422" i="7"/>
  <c r="K422" i="7"/>
  <c r="J422" i="7"/>
  <c r="I422" i="7"/>
  <c r="L422" i="7" s="1"/>
  <c r="C422" i="7"/>
  <c r="B422" i="7"/>
  <c r="M421" i="7"/>
  <c r="L421" i="7"/>
  <c r="K421" i="7"/>
  <c r="I421" i="7"/>
  <c r="H421" i="7"/>
  <c r="N421" i="7" s="1"/>
  <c r="B421" i="7"/>
  <c r="C421" i="7" s="1"/>
  <c r="J421" i="7" s="1"/>
  <c r="M420" i="7"/>
  <c r="K420" i="7"/>
  <c r="I420" i="7"/>
  <c r="L420" i="7" s="1"/>
  <c r="H420" i="7"/>
  <c r="N420" i="7" s="1"/>
  <c r="C420" i="7"/>
  <c r="J420" i="7" s="1"/>
  <c r="B420" i="7"/>
  <c r="M419" i="7"/>
  <c r="L419" i="7"/>
  <c r="K419" i="7"/>
  <c r="J419" i="7"/>
  <c r="I419" i="7"/>
  <c r="H419" i="7"/>
  <c r="N419" i="7" s="1"/>
  <c r="C419" i="7"/>
  <c r="B419" i="7"/>
  <c r="H418" i="7" s="1"/>
  <c r="N418" i="7"/>
  <c r="M418" i="7"/>
  <c r="L418" i="7"/>
  <c r="K418" i="7"/>
  <c r="I418" i="7"/>
  <c r="C418" i="7"/>
  <c r="J418" i="7" s="1"/>
  <c r="B418" i="7"/>
  <c r="M417" i="7"/>
  <c r="L417" i="7"/>
  <c r="K417" i="7"/>
  <c r="I417" i="7"/>
  <c r="H417" i="7"/>
  <c r="N417" i="7" s="1"/>
  <c r="B417" i="7"/>
  <c r="H416" i="7" s="1"/>
  <c r="N416" i="7" s="1"/>
  <c r="M416" i="7"/>
  <c r="K416" i="7"/>
  <c r="I416" i="7"/>
  <c r="L416" i="7" s="1"/>
  <c r="C416" i="7"/>
  <c r="J416" i="7" s="1"/>
  <c r="B416" i="7"/>
  <c r="H415" i="7" s="1"/>
  <c r="N415" i="7"/>
  <c r="M415" i="7"/>
  <c r="L415" i="7"/>
  <c r="K415" i="7"/>
  <c r="I415" i="7"/>
  <c r="B415" i="7"/>
  <c r="M414" i="7"/>
  <c r="K414" i="7"/>
  <c r="I414" i="7"/>
  <c r="L414" i="7" s="1"/>
  <c r="C414" i="7"/>
  <c r="J414" i="7" s="1"/>
  <c r="B414" i="7"/>
  <c r="M413" i="7"/>
  <c r="L413" i="7"/>
  <c r="K413" i="7"/>
  <c r="J413" i="7"/>
  <c r="I413" i="7"/>
  <c r="H413" i="7"/>
  <c r="N413" i="7" s="1"/>
  <c r="B413" i="7"/>
  <c r="C413" i="7" s="1"/>
  <c r="M412" i="7"/>
  <c r="L412" i="7"/>
  <c r="K412" i="7"/>
  <c r="J412" i="7"/>
  <c r="I412" i="7"/>
  <c r="H412" i="7"/>
  <c r="N412" i="7" s="1"/>
  <c r="C412" i="7"/>
  <c r="B412" i="7"/>
  <c r="N411" i="7"/>
  <c r="M411" i="7"/>
  <c r="L411" i="7"/>
  <c r="K411" i="7"/>
  <c r="I411" i="7"/>
  <c r="H411" i="7"/>
  <c r="B411" i="7"/>
  <c r="C411" i="7" s="1"/>
  <c r="J411" i="7" s="1"/>
  <c r="M410" i="7"/>
  <c r="K410" i="7"/>
  <c r="I410" i="7"/>
  <c r="L410" i="7" s="1"/>
  <c r="H410" i="7"/>
  <c r="N410" i="7" s="1"/>
  <c r="C410" i="7"/>
  <c r="J410" i="7" s="1"/>
  <c r="B410" i="7"/>
  <c r="N409" i="7"/>
  <c r="M409" i="7"/>
  <c r="L409" i="7"/>
  <c r="K409" i="7"/>
  <c r="J409" i="7"/>
  <c r="I409" i="7"/>
  <c r="H409" i="7"/>
  <c r="C409" i="7"/>
  <c r="B409" i="7"/>
  <c r="H408" i="7" s="1"/>
  <c r="N408" i="7"/>
  <c r="M408" i="7"/>
  <c r="L408" i="7"/>
  <c r="K408" i="7"/>
  <c r="J408" i="7"/>
  <c r="I408" i="7"/>
  <c r="C408" i="7"/>
  <c r="B408" i="7"/>
  <c r="M407" i="7"/>
  <c r="L407" i="7"/>
  <c r="K407" i="7"/>
  <c r="I407" i="7"/>
  <c r="B407" i="7"/>
  <c r="M406" i="7"/>
  <c r="K406" i="7"/>
  <c r="I406" i="7"/>
  <c r="L406" i="7" s="1"/>
  <c r="B406" i="7"/>
  <c r="M405" i="7"/>
  <c r="K405" i="7"/>
  <c r="I405" i="7"/>
  <c r="L405" i="7" s="1"/>
  <c r="B405" i="7"/>
  <c r="M404" i="7"/>
  <c r="K404" i="7"/>
  <c r="I404" i="7"/>
  <c r="L404" i="7" s="1"/>
  <c r="C404" i="7"/>
  <c r="J404" i="7" s="1"/>
  <c r="B404" i="7"/>
  <c r="H403" i="7" s="1"/>
  <c r="N403" i="7" s="1"/>
  <c r="M403" i="7"/>
  <c r="L403" i="7"/>
  <c r="K403" i="7"/>
  <c r="J403" i="7"/>
  <c r="I403" i="7"/>
  <c r="B403" i="7"/>
  <c r="C403" i="7" s="1"/>
  <c r="M402" i="7"/>
  <c r="K402" i="7"/>
  <c r="J402" i="7"/>
  <c r="I402" i="7"/>
  <c r="L402" i="7" s="1"/>
  <c r="H402" i="7"/>
  <c r="N402" i="7" s="1"/>
  <c r="C402" i="7"/>
  <c r="B402" i="7"/>
  <c r="M401" i="7"/>
  <c r="L401" i="7"/>
  <c r="K401" i="7"/>
  <c r="I401" i="7"/>
  <c r="B401" i="7"/>
  <c r="M400" i="7"/>
  <c r="K400" i="7"/>
  <c r="I400" i="7"/>
  <c r="L400" i="7" s="1"/>
  <c r="C400" i="7"/>
  <c r="J400" i="7" s="1"/>
  <c r="B400" i="7"/>
  <c r="M399" i="7"/>
  <c r="L399" i="7"/>
  <c r="K399" i="7"/>
  <c r="I399" i="7"/>
  <c r="H399" i="7"/>
  <c r="N399" i="7" s="1"/>
  <c r="C399" i="7"/>
  <c r="J399" i="7" s="1"/>
  <c r="B399" i="7"/>
  <c r="H398" i="7" s="1"/>
  <c r="N398" i="7" s="1"/>
  <c r="M398" i="7"/>
  <c r="L398" i="7"/>
  <c r="K398" i="7"/>
  <c r="I398" i="7"/>
  <c r="C398" i="7"/>
  <c r="J398" i="7" s="1"/>
  <c r="B398" i="7"/>
  <c r="N397" i="7"/>
  <c r="M397" i="7"/>
  <c r="L397" i="7"/>
  <c r="K397" i="7"/>
  <c r="I397" i="7"/>
  <c r="H397" i="7"/>
  <c r="B397" i="7"/>
  <c r="M396" i="7"/>
  <c r="K396" i="7"/>
  <c r="J396" i="7"/>
  <c r="I396" i="7"/>
  <c r="L396" i="7" s="1"/>
  <c r="C396" i="7"/>
  <c r="B396" i="7"/>
  <c r="M395" i="7"/>
  <c r="K395" i="7"/>
  <c r="I395" i="7"/>
  <c r="L395" i="7" s="1"/>
  <c r="B395" i="7"/>
  <c r="M394" i="7"/>
  <c r="K394" i="7"/>
  <c r="I394" i="7"/>
  <c r="L394" i="7" s="1"/>
  <c r="B394" i="7"/>
  <c r="C394" i="7" s="1"/>
  <c r="J394" i="7" s="1"/>
  <c r="M393" i="7"/>
  <c r="K393" i="7"/>
  <c r="J393" i="7"/>
  <c r="I393" i="7"/>
  <c r="L393" i="7" s="1"/>
  <c r="H393" i="7"/>
  <c r="N393" i="7" s="1"/>
  <c r="B393" i="7"/>
  <c r="C393" i="7" s="1"/>
  <c r="M392" i="7"/>
  <c r="K392" i="7"/>
  <c r="J392" i="7"/>
  <c r="I392" i="7"/>
  <c r="L392" i="7" s="1"/>
  <c r="H392" i="7"/>
  <c r="N392" i="7" s="1"/>
  <c r="C392" i="7"/>
  <c r="B392" i="7"/>
  <c r="M391" i="7"/>
  <c r="L391" i="7"/>
  <c r="K391" i="7"/>
  <c r="I391" i="7"/>
  <c r="B391" i="7"/>
  <c r="M390" i="7"/>
  <c r="K390" i="7"/>
  <c r="I390" i="7"/>
  <c r="L390" i="7" s="1"/>
  <c r="C390" i="7"/>
  <c r="J390" i="7" s="1"/>
  <c r="B390" i="7"/>
  <c r="M389" i="7"/>
  <c r="L389" i="7"/>
  <c r="K389" i="7"/>
  <c r="I389" i="7"/>
  <c r="H389" i="7"/>
  <c r="N389" i="7" s="1"/>
  <c r="C389" i="7"/>
  <c r="J389" i="7" s="1"/>
  <c r="B389" i="7"/>
  <c r="H388" i="7" s="1"/>
  <c r="N388" i="7" s="1"/>
  <c r="M388" i="7"/>
  <c r="L388" i="7"/>
  <c r="K388" i="7"/>
  <c r="I388" i="7"/>
  <c r="C388" i="7"/>
  <c r="J388" i="7" s="1"/>
  <c r="B388" i="7"/>
  <c r="M387" i="7"/>
  <c r="L387" i="7"/>
  <c r="K387" i="7"/>
  <c r="J387" i="7"/>
  <c r="I387" i="7"/>
  <c r="H387" i="7"/>
  <c r="N387" i="7" s="1"/>
  <c r="C387" i="7"/>
  <c r="B387" i="7"/>
  <c r="M386" i="7"/>
  <c r="K386" i="7"/>
  <c r="I386" i="7"/>
  <c r="L386" i="7" s="1"/>
  <c r="B386" i="7"/>
  <c r="M385" i="7"/>
  <c r="K385" i="7"/>
  <c r="I385" i="7"/>
  <c r="L385" i="7" s="1"/>
  <c r="B385" i="7"/>
  <c r="M384" i="7"/>
  <c r="L384" i="7"/>
  <c r="K384" i="7"/>
  <c r="I384" i="7"/>
  <c r="B384" i="7"/>
  <c r="M383" i="7"/>
  <c r="L383" i="7"/>
  <c r="K383" i="7"/>
  <c r="I383" i="7"/>
  <c r="B383" i="7"/>
  <c r="M382" i="7"/>
  <c r="L382" i="7"/>
  <c r="K382" i="7"/>
  <c r="J382" i="7"/>
  <c r="I382" i="7"/>
  <c r="C382" i="7"/>
  <c r="B382" i="7"/>
  <c r="M381" i="7"/>
  <c r="L381" i="7"/>
  <c r="K381" i="7"/>
  <c r="I381" i="7"/>
  <c r="B381" i="7"/>
  <c r="M380" i="7"/>
  <c r="K380" i="7"/>
  <c r="I380" i="7"/>
  <c r="L380" i="7" s="1"/>
  <c r="C380" i="7"/>
  <c r="J380" i="7" s="1"/>
  <c r="B380" i="7"/>
  <c r="M379" i="7"/>
  <c r="L379" i="7"/>
  <c r="K379" i="7"/>
  <c r="I379" i="7"/>
  <c r="H379" i="7"/>
  <c r="N379" i="7" s="1"/>
  <c r="C379" i="7"/>
  <c r="J379" i="7" s="1"/>
  <c r="B379" i="7"/>
  <c r="H378" i="7" s="1"/>
  <c r="N378" i="7"/>
  <c r="M378" i="7"/>
  <c r="L378" i="7"/>
  <c r="K378" i="7"/>
  <c r="I378" i="7"/>
  <c r="C378" i="7"/>
  <c r="J378" i="7" s="1"/>
  <c r="B378" i="7"/>
  <c r="M377" i="7"/>
  <c r="L377" i="7"/>
  <c r="K377" i="7"/>
  <c r="J377" i="7"/>
  <c r="I377" i="7"/>
  <c r="H377" i="7"/>
  <c r="N377" i="7" s="1"/>
  <c r="C377" i="7"/>
  <c r="B377" i="7"/>
  <c r="M376" i="7"/>
  <c r="K376" i="7"/>
  <c r="I376" i="7"/>
  <c r="L376" i="7" s="1"/>
  <c r="B376" i="7"/>
  <c r="H375" i="7" s="1"/>
  <c r="N375" i="7" s="1"/>
  <c r="M375" i="7"/>
  <c r="L375" i="7"/>
  <c r="K375" i="7"/>
  <c r="I375" i="7"/>
  <c r="B375" i="7"/>
  <c r="M374" i="7"/>
  <c r="L374" i="7"/>
  <c r="K374" i="7"/>
  <c r="I374" i="7"/>
  <c r="C374" i="7"/>
  <c r="J374" i="7" s="1"/>
  <c r="B374" i="7"/>
  <c r="M373" i="7"/>
  <c r="L373" i="7"/>
  <c r="K373" i="7"/>
  <c r="J373" i="7"/>
  <c r="I373" i="7"/>
  <c r="H373" i="7"/>
  <c r="N373" i="7" s="1"/>
  <c r="B373" i="7"/>
  <c r="C373" i="7" s="1"/>
  <c r="M372" i="7"/>
  <c r="L372" i="7"/>
  <c r="K372" i="7"/>
  <c r="J372" i="7"/>
  <c r="I372" i="7"/>
  <c r="H372" i="7"/>
  <c r="N372" i="7" s="1"/>
  <c r="C372" i="7"/>
  <c r="B372" i="7"/>
  <c r="N371" i="7"/>
  <c r="M371" i="7"/>
  <c r="L371" i="7"/>
  <c r="K371" i="7"/>
  <c r="I371" i="7"/>
  <c r="H371" i="7"/>
  <c r="B371" i="7"/>
  <c r="C371" i="7" s="1"/>
  <c r="J371" i="7" s="1"/>
  <c r="M370" i="7"/>
  <c r="K370" i="7"/>
  <c r="I370" i="7"/>
  <c r="L370" i="7" s="1"/>
  <c r="C370" i="7"/>
  <c r="J370" i="7" s="1"/>
  <c r="B370" i="7"/>
  <c r="N369" i="7"/>
  <c r="M369" i="7"/>
  <c r="L369" i="7"/>
  <c r="K369" i="7"/>
  <c r="J369" i="7"/>
  <c r="I369" i="7"/>
  <c r="H369" i="7"/>
  <c r="C369" i="7"/>
  <c r="B369" i="7"/>
  <c r="H368" i="7" s="1"/>
  <c r="N368" i="7"/>
  <c r="M368" i="7"/>
  <c r="L368" i="7"/>
  <c r="K368" i="7"/>
  <c r="I368" i="7"/>
  <c r="C368" i="7"/>
  <c r="J368" i="7" s="1"/>
  <c r="B368" i="7"/>
  <c r="M367" i="7"/>
  <c r="L367" i="7"/>
  <c r="K367" i="7"/>
  <c r="I367" i="7"/>
  <c r="B367" i="7"/>
  <c r="M366" i="7"/>
  <c r="K366" i="7"/>
  <c r="I366" i="7"/>
  <c r="L366" i="7" s="1"/>
  <c r="B366" i="7"/>
  <c r="M365" i="7"/>
  <c r="K365" i="7"/>
  <c r="I365" i="7"/>
  <c r="L365" i="7" s="1"/>
  <c r="B365" i="7"/>
  <c r="M364" i="7"/>
  <c r="K364" i="7"/>
  <c r="I364" i="7"/>
  <c r="L364" i="7" s="1"/>
  <c r="B364" i="7"/>
  <c r="M363" i="7"/>
  <c r="K363" i="7"/>
  <c r="I363" i="7"/>
  <c r="L363" i="7" s="1"/>
  <c r="B363" i="7"/>
  <c r="H362" i="7" s="1"/>
  <c r="N362" i="7" s="1"/>
  <c r="M362" i="7"/>
  <c r="K362" i="7"/>
  <c r="J362" i="7"/>
  <c r="I362" i="7"/>
  <c r="L362" i="7" s="1"/>
  <c r="C362" i="7"/>
  <c r="B362" i="7"/>
  <c r="M361" i="7"/>
  <c r="L361" i="7"/>
  <c r="K361" i="7"/>
  <c r="I361" i="7"/>
  <c r="B361" i="7"/>
  <c r="M360" i="7"/>
  <c r="K360" i="7"/>
  <c r="I360" i="7"/>
  <c r="L360" i="7" s="1"/>
  <c r="B360" i="7"/>
  <c r="C360" i="7" s="1"/>
  <c r="J360" i="7" s="1"/>
  <c r="M359" i="7"/>
  <c r="K359" i="7"/>
  <c r="J359" i="7"/>
  <c r="I359" i="7"/>
  <c r="L359" i="7" s="1"/>
  <c r="H359" i="7"/>
  <c r="N359" i="7" s="1"/>
  <c r="C359" i="7"/>
  <c r="B359" i="7"/>
  <c r="H358" i="7" s="1"/>
  <c r="N358" i="7" s="1"/>
  <c r="M358" i="7"/>
  <c r="L358" i="7"/>
  <c r="K358" i="7"/>
  <c r="J358" i="7"/>
  <c r="I358" i="7"/>
  <c r="C358" i="7"/>
  <c r="B358" i="7"/>
  <c r="N357" i="7"/>
  <c r="M357" i="7"/>
  <c r="L357" i="7"/>
  <c r="K357" i="7"/>
  <c r="I357" i="7"/>
  <c r="H357" i="7"/>
  <c r="B357" i="7"/>
  <c r="C357" i="7" s="1"/>
  <c r="J357" i="7" s="1"/>
  <c r="M356" i="7"/>
  <c r="K356" i="7"/>
  <c r="J356" i="7"/>
  <c r="I356" i="7"/>
  <c r="L356" i="7" s="1"/>
  <c r="C356" i="7"/>
  <c r="B356" i="7"/>
  <c r="M355" i="7"/>
  <c r="L355" i="7"/>
  <c r="K355" i="7"/>
  <c r="I355" i="7"/>
  <c r="B355" i="7"/>
  <c r="M354" i="7"/>
  <c r="L354" i="7"/>
  <c r="K354" i="7"/>
  <c r="I354" i="7"/>
  <c r="B354" i="7"/>
  <c r="C354" i="7" s="1"/>
  <c r="J354" i="7" s="1"/>
  <c r="N353" i="7"/>
  <c r="M353" i="7"/>
  <c r="L353" i="7"/>
  <c r="K353" i="7"/>
  <c r="I353" i="7"/>
  <c r="B353" i="7"/>
  <c r="H353" i="7" s="1"/>
  <c r="M352" i="7"/>
  <c r="K352" i="7"/>
  <c r="I352" i="7"/>
  <c r="L352" i="7" s="1"/>
  <c r="H352" i="7"/>
  <c r="N352" i="7" s="1"/>
  <c r="C352" i="7"/>
  <c r="J352" i="7" s="1"/>
  <c r="B352" i="7"/>
  <c r="M351" i="7"/>
  <c r="K351" i="7"/>
  <c r="J351" i="7"/>
  <c r="I351" i="7"/>
  <c r="L351" i="7" s="1"/>
  <c r="H351" i="7"/>
  <c r="N351" i="7" s="1"/>
  <c r="B351" i="7"/>
  <c r="C351" i="7" s="1"/>
  <c r="M350" i="7"/>
  <c r="K350" i="7"/>
  <c r="J350" i="7"/>
  <c r="I350" i="7"/>
  <c r="L350" i="7" s="1"/>
  <c r="H350" i="7"/>
  <c r="N350" i="7" s="1"/>
  <c r="C350" i="7"/>
  <c r="B350" i="7"/>
  <c r="M349" i="7"/>
  <c r="L349" i="7"/>
  <c r="K349" i="7"/>
  <c r="I349" i="7"/>
  <c r="B349" i="7"/>
  <c r="M348" i="7"/>
  <c r="K348" i="7"/>
  <c r="I348" i="7"/>
  <c r="L348" i="7" s="1"/>
  <c r="C348" i="7"/>
  <c r="J348" i="7" s="1"/>
  <c r="B348" i="7"/>
  <c r="H347" i="7" s="1"/>
  <c r="N347" i="7" s="1"/>
  <c r="M347" i="7"/>
  <c r="K347" i="7"/>
  <c r="I347" i="7"/>
  <c r="L347" i="7" s="1"/>
  <c r="C347" i="7"/>
  <c r="J347" i="7" s="1"/>
  <c r="B347" i="7"/>
  <c r="H346" i="7" s="1"/>
  <c r="N346" i="7" s="1"/>
  <c r="M346" i="7"/>
  <c r="K346" i="7"/>
  <c r="I346" i="7"/>
  <c r="L346" i="7" s="1"/>
  <c r="B346" i="7"/>
  <c r="C346" i="7" s="1"/>
  <c r="J346" i="7" s="1"/>
  <c r="M345" i="7"/>
  <c r="L345" i="7"/>
  <c r="K345" i="7"/>
  <c r="I345" i="7"/>
  <c r="H345" i="7"/>
  <c r="N345" i="7" s="1"/>
  <c r="B345" i="7"/>
  <c r="C345" i="7" s="1"/>
  <c r="J345" i="7" s="1"/>
  <c r="M344" i="7"/>
  <c r="K344" i="7"/>
  <c r="J344" i="7"/>
  <c r="I344" i="7"/>
  <c r="L344" i="7" s="1"/>
  <c r="H344" i="7"/>
  <c r="N344" i="7" s="1"/>
  <c r="C344" i="7"/>
  <c r="B344" i="7"/>
  <c r="M343" i="7"/>
  <c r="K343" i="7"/>
  <c r="I343" i="7"/>
  <c r="L343" i="7" s="1"/>
  <c r="H343" i="7"/>
  <c r="N343" i="7" s="1"/>
  <c r="B343" i="7"/>
  <c r="C343" i="7" s="1"/>
  <c r="J343" i="7" s="1"/>
  <c r="M342" i="7"/>
  <c r="L342" i="7"/>
  <c r="K342" i="7"/>
  <c r="I342" i="7"/>
  <c r="C342" i="7"/>
  <c r="J342" i="7" s="1"/>
  <c r="B342" i="7"/>
  <c r="H342" i="7" s="1"/>
  <c r="N342" i="7" s="1"/>
  <c r="M341" i="7"/>
  <c r="K341" i="7"/>
  <c r="J341" i="7"/>
  <c r="I341" i="7"/>
  <c r="L341" i="7" s="1"/>
  <c r="H341" i="7"/>
  <c r="N341" i="7" s="1"/>
  <c r="C341" i="7"/>
  <c r="B341" i="7"/>
  <c r="M340" i="7"/>
  <c r="K340" i="7"/>
  <c r="J340" i="7"/>
  <c r="I340" i="7"/>
  <c r="L340" i="7" s="1"/>
  <c r="H340" i="7"/>
  <c r="N340" i="7" s="1"/>
  <c r="C340" i="7"/>
  <c r="B340" i="7"/>
  <c r="M339" i="7"/>
  <c r="L339" i="7"/>
  <c r="K339" i="7"/>
  <c r="I339" i="7"/>
  <c r="B339" i="7"/>
  <c r="M338" i="7"/>
  <c r="K338" i="7"/>
  <c r="I338" i="7"/>
  <c r="L338" i="7" s="1"/>
  <c r="H338" i="7"/>
  <c r="N338" i="7" s="1"/>
  <c r="C338" i="7"/>
  <c r="J338" i="7" s="1"/>
  <c r="B338" i="7"/>
  <c r="M337" i="7"/>
  <c r="K337" i="7"/>
  <c r="J337" i="7"/>
  <c r="I337" i="7"/>
  <c r="L337" i="7" s="1"/>
  <c r="H337" i="7"/>
  <c r="N337" i="7" s="1"/>
  <c r="C337" i="7"/>
  <c r="B337" i="7"/>
  <c r="H336" i="7" s="1"/>
  <c r="N336" i="7"/>
  <c r="M336" i="7"/>
  <c r="K336" i="7"/>
  <c r="J336" i="7"/>
  <c r="I336" i="7"/>
  <c r="L336" i="7" s="1"/>
  <c r="B336" i="7"/>
  <c r="C336" i="7" s="1"/>
  <c r="N335" i="7"/>
  <c r="M335" i="7"/>
  <c r="L335" i="7"/>
  <c r="K335" i="7"/>
  <c r="I335" i="7"/>
  <c r="H335" i="7"/>
  <c r="C335" i="7"/>
  <c r="J335" i="7" s="1"/>
  <c r="B335" i="7"/>
  <c r="M334" i="7"/>
  <c r="K334" i="7"/>
  <c r="J334" i="7"/>
  <c r="I334" i="7"/>
  <c r="L334" i="7" s="1"/>
  <c r="H334" i="7"/>
  <c r="N334" i="7" s="1"/>
  <c r="B334" i="7"/>
  <c r="C334" i="7" s="1"/>
  <c r="N333" i="7"/>
  <c r="M333" i="7"/>
  <c r="L333" i="7"/>
  <c r="K333" i="7"/>
  <c r="J333" i="7"/>
  <c r="I333" i="7"/>
  <c r="H333" i="7"/>
  <c r="B333" i="7"/>
  <c r="C333" i="7" s="1"/>
  <c r="N332" i="7"/>
  <c r="M332" i="7"/>
  <c r="L332" i="7"/>
  <c r="K332" i="7"/>
  <c r="I332" i="7"/>
  <c r="C332" i="7"/>
  <c r="J332" i="7" s="1"/>
  <c r="B332" i="7"/>
  <c r="H332" i="7" s="1"/>
  <c r="N331" i="7"/>
  <c r="M331" i="7"/>
  <c r="K331" i="7"/>
  <c r="I331" i="7"/>
  <c r="L331" i="7" s="1"/>
  <c r="B331" i="7"/>
  <c r="H331" i="7" s="1"/>
  <c r="M330" i="7"/>
  <c r="L330" i="7"/>
  <c r="K330" i="7"/>
  <c r="J330" i="7"/>
  <c r="I330" i="7"/>
  <c r="C330" i="7"/>
  <c r="B330" i="7"/>
  <c r="M329" i="7"/>
  <c r="L329" i="7"/>
  <c r="K329" i="7"/>
  <c r="I329" i="7"/>
  <c r="B329" i="7"/>
  <c r="M328" i="7"/>
  <c r="K328" i="7"/>
  <c r="I328" i="7"/>
  <c r="L328" i="7" s="1"/>
  <c r="B328" i="7"/>
  <c r="C328" i="7" s="1"/>
  <c r="J328" i="7" s="1"/>
  <c r="M327" i="7"/>
  <c r="L327" i="7"/>
  <c r="K327" i="7"/>
  <c r="I327" i="7"/>
  <c r="B327" i="7"/>
  <c r="M326" i="7"/>
  <c r="L326" i="7"/>
  <c r="K326" i="7"/>
  <c r="J326" i="7"/>
  <c r="I326" i="7"/>
  <c r="B326" i="7"/>
  <c r="C326" i="7" s="1"/>
  <c r="M325" i="7"/>
  <c r="L325" i="7"/>
  <c r="K325" i="7"/>
  <c r="I325" i="7"/>
  <c r="B325" i="7"/>
  <c r="M324" i="7"/>
  <c r="L324" i="7"/>
  <c r="K324" i="7"/>
  <c r="I324" i="7"/>
  <c r="C324" i="7"/>
  <c r="J324" i="7" s="1"/>
  <c r="B324" i="7"/>
  <c r="M323" i="7"/>
  <c r="K323" i="7"/>
  <c r="I323" i="7"/>
  <c r="L323" i="7" s="1"/>
  <c r="H323" i="7"/>
  <c r="N323" i="7" s="1"/>
  <c r="B323" i="7"/>
  <c r="C323" i="7" s="1"/>
  <c r="J323" i="7" s="1"/>
  <c r="M322" i="7"/>
  <c r="L322" i="7"/>
  <c r="K322" i="7"/>
  <c r="I322" i="7"/>
  <c r="B322" i="7"/>
  <c r="M321" i="7"/>
  <c r="K321" i="7"/>
  <c r="J321" i="7"/>
  <c r="I321" i="7"/>
  <c r="L321" i="7" s="1"/>
  <c r="H321" i="7"/>
  <c r="N321" i="7" s="1"/>
  <c r="C321" i="7"/>
  <c r="B321" i="7"/>
  <c r="M320" i="7"/>
  <c r="L320" i="7"/>
  <c r="K320" i="7"/>
  <c r="J320" i="7"/>
  <c r="I320" i="7"/>
  <c r="H320" i="7"/>
  <c r="N320" i="7" s="1"/>
  <c r="C320" i="7"/>
  <c r="B320" i="7"/>
  <c r="N319" i="7"/>
  <c r="M319" i="7"/>
  <c r="L319" i="7"/>
  <c r="K319" i="7"/>
  <c r="I319" i="7"/>
  <c r="B319" i="7"/>
  <c r="H319" i="7" s="1"/>
  <c r="M318" i="7"/>
  <c r="K318" i="7"/>
  <c r="I318" i="7"/>
  <c r="L318" i="7" s="1"/>
  <c r="B318" i="7"/>
  <c r="M317" i="7"/>
  <c r="L317" i="7"/>
  <c r="K317" i="7"/>
  <c r="I317" i="7"/>
  <c r="H317" i="7"/>
  <c r="N317" i="7" s="1"/>
  <c r="C317" i="7"/>
  <c r="J317" i="7" s="1"/>
  <c r="B317" i="7"/>
  <c r="M316" i="7"/>
  <c r="K316" i="7"/>
  <c r="I316" i="7"/>
  <c r="L316" i="7" s="1"/>
  <c r="B316" i="7"/>
  <c r="M315" i="7"/>
  <c r="L315" i="7"/>
  <c r="K315" i="7"/>
  <c r="I315" i="7"/>
  <c r="C315" i="7"/>
  <c r="J315" i="7" s="1"/>
  <c r="B315" i="7"/>
  <c r="M314" i="7"/>
  <c r="L314" i="7"/>
  <c r="K314" i="7"/>
  <c r="I314" i="7"/>
  <c r="H314" i="7"/>
  <c r="N314" i="7" s="1"/>
  <c r="B314" i="7"/>
  <c r="C314" i="7" s="1"/>
  <c r="J314" i="7" s="1"/>
  <c r="M313" i="7"/>
  <c r="L313" i="7"/>
  <c r="K313" i="7"/>
  <c r="J313" i="7"/>
  <c r="I313" i="7"/>
  <c r="B313" i="7"/>
  <c r="C313" i="7" s="1"/>
  <c r="M312" i="7"/>
  <c r="L312" i="7"/>
  <c r="K312" i="7"/>
  <c r="I312" i="7"/>
  <c r="B312" i="7"/>
  <c r="M311" i="7"/>
  <c r="K311" i="7"/>
  <c r="I311" i="7"/>
  <c r="L311" i="7" s="1"/>
  <c r="B311" i="7"/>
  <c r="M310" i="7"/>
  <c r="L310" i="7"/>
  <c r="K310" i="7"/>
  <c r="J310" i="7"/>
  <c r="I310" i="7"/>
  <c r="C310" i="7"/>
  <c r="B310" i="7"/>
  <c r="N309" i="7"/>
  <c r="M309" i="7"/>
  <c r="L309" i="7"/>
  <c r="K309" i="7"/>
  <c r="I309" i="7"/>
  <c r="B309" i="7"/>
  <c r="H309" i="7" s="1"/>
  <c r="N308" i="7"/>
  <c r="M308" i="7"/>
  <c r="K308" i="7"/>
  <c r="I308" i="7"/>
  <c r="L308" i="7" s="1"/>
  <c r="C308" i="7"/>
  <c r="J308" i="7" s="1"/>
  <c r="B308" i="7"/>
  <c r="H308" i="7" s="1"/>
  <c r="N307" i="7"/>
  <c r="M307" i="7"/>
  <c r="K307" i="7"/>
  <c r="I307" i="7"/>
  <c r="L307" i="7" s="1"/>
  <c r="H307" i="7"/>
  <c r="C307" i="7"/>
  <c r="J307" i="7" s="1"/>
  <c r="B307" i="7"/>
  <c r="M306" i="7"/>
  <c r="K306" i="7"/>
  <c r="J306" i="7"/>
  <c r="I306" i="7"/>
  <c r="L306" i="7" s="1"/>
  <c r="H306" i="7"/>
  <c r="N306" i="7" s="1"/>
  <c r="C306" i="7"/>
  <c r="B306" i="7"/>
  <c r="H305" i="7" s="1"/>
  <c r="N305" i="7" s="1"/>
  <c r="M305" i="7"/>
  <c r="K305" i="7"/>
  <c r="I305" i="7"/>
  <c r="L305" i="7" s="1"/>
  <c r="B305" i="7"/>
  <c r="C305" i="7" s="1"/>
  <c r="J305" i="7" s="1"/>
  <c r="M304" i="7"/>
  <c r="L304" i="7"/>
  <c r="K304" i="7"/>
  <c r="I304" i="7"/>
  <c r="B304" i="7"/>
  <c r="M303" i="7"/>
  <c r="K303" i="7"/>
  <c r="I303" i="7"/>
  <c r="L303" i="7" s="1"/>
  <c r="H303" i="7"/>
  <c r="N303" i="7" s="1"/>
  <c r="C303" i="7"/>
  <c r="J303" i="7" s="1"/>
  <c r="B303" i="7"/>
  <c r="M302" i="7"/>
  <c r="K302" i="7"/>
  <c r="J302" i="7"/>
  <c r="I302" i="7"/>
  <c r="L302" i="7" s="1"/>
  <c r="H302" i="7"/>
  <c r="N302" i="7" s="1"/>
  <c r="C302" i="7"/>
  <c r="B302" i="7"/>
  <c r="M301" i="7"/>
  <c r="L301" i="7"/>
  <c r="K301" i="7"/>
  <c r="I301" i="7"/>
  <c r="B301" i="7"/>
  <c r="M300" i="7"/>
  <c r="K300" i="7"/>
  <c r="I300" i="7"/>
  <c r="L300" i="7" s="1"/>
  <c r="C300" i="7"/>
  <c r="J300" i="7" s="1"/>
  <c r="B300" i="7"/>
  <c r="M299" i="7"/>
  <c r="K299" i="7"/>
  <c r="J299" i="7"/>
  <c r="I299" i="7"/>
  <c r="L299" i="7" s="1"/>
  <c r="H299" i="7"/>
  <c r="N299" i="7" s="1"/>
  <c r="C299" i="7"/>
  <c r="B299" i="7"/>
  <c r="H298" i="7" s="1"/>
  <c r="N298" i="7" s="1"/>
  <c r="M298" i="7"/>
  <c r="L298" i="7"/>
  <c r="K298" i="7"/>
  <c r="J298" i="7"/>
  <c r="I298" i="7"/>
  <c r="B298" i="7"/>
  <c r="C298" i="7" s="1"/>
  <c r="M297" i="7"/>
  <c r="L297" i="7"/>
  <c r="K297" i="7"/>
  <c r="I297" i="7"/>
  <c r="B297" i="7"/>
  <c r="M296" i="7"/>
  <c r="K296" i="7"/>
  <c r="J296" i="7"/>
  <c r="I296" i="7"/>
  <c r="L296" i="7" s="1"/>
  <c r="C296" i="7"/>
  <c r="B296" i="7"/>
  <c r="H295" i="7" s="1"/>
  <c r="N295" i="7" s="1"/>
  <c r="M295" i="7"/>
  <c r="L295" i="7"/>
  <c r="K295" i="7"/>
  <c r="I295" i="7"/>
  <c r="B295" i="7"/>
  <c r="C295" i="7" s="1"/>
  <c r="J295" i="7" s="1"/>
  <c r="M294" i="7"/>
  <c r="L294" i="7"/>
  <c r="K294" i="7"/>
  <c r="I294" i="7"/>
  <c r="B294" i="7"/>
  <c r="M293" i="7"/>
  <c r="K293" i="7"/>
  <c r="I293" i="7"/>
  <c r="L293" i="7" s="1"/>
  <c r="H293" i="7"/>
  <c r="N293" i="7" s="1"/>
  <c r="B293" i="7"/>
  <c r="M292" i="7"/>
  <c r="L292" i="7"/>
  <c r="K292" i="7"/>
  <c r="J292" i="7"/>
  <c r="I292" i="7"/>
  <c r="C292" i="7"/>
  <c r="B292" i="7"/>
  <c r="M291" i="7"/>
  <c r="L291" i="7"/>
  <c r="K291" i="7"/>
  <c r="I291" i="7"/>
  <c r="B291" i="7"/>
  <c r="M290" i="7"/>
  <c r="K290" i="7"/>
  <c r="I290" i="7"/>
  <c r="L290" i="7" s="1"/>
  <c r="B290" i="7"/>
  <c r="M289" i="7"/>
  <c r="K289" i="7"/>
  <c r="J289" i="7"/>
  <c r="I289" i="7"/>
  <c r="L289" i="7" s="1"/>
  <c r="C289" i="7"/>
  <c r="B289" i="7"/>
  <c r="H288" i="7" s="1"/>
  <c r="N288" i="7" s="1"/>
  <c r="M288" i="7"/>
  <c r="K288" i="7"/>
  <c r="J288" i="7"/>
  <c r="I288" i="7"/>
  <c r="L288" i="7" s="1"/>
  <c r="B288" i="7"/>
  <c r="C288" i="7" s="1"/>
  <c r="M287" i="7"/>
  <c r="L287" i="7"/>
  <c r="K287" i="7"/>
  <c r="I287" i="7"/>
  <c r="B287" i="7"/>
  <c r="M286" i="7"/>
  <c r="L286" i="7"/>
  <c r="K286" i="7"/>
  <c r="I286" i="7"/>
  <c r="H286" i="7"/>
  <c r="N286" i="7" s="1"/>
  <c r="C286" i="7"/>
  <c r="J286" i="7" s="1"/>
  <c r="B286" i="7"/>
  <c r="M285" i="7"/>
  <c r="L285" i="7"/>
  <c r="K285" i="7"/>
  <c r="I285" i="7"/>
  <c r="H285" i="7"/>
  <c r="N285" i="7" s="1"/>
  <c r="B285" i="7"/>
  <c r="C285" i="7" s="1"/>
  <c r="J285" i="7" s="1"/>
  <c r="M284" i="7"/>
  <c r="L284" i="7"/>
  <c r="K284" i="7"/>
  <c r="I284" i="7"/>
  <c r="H284" i="7"/>
  <c r="N284" i="7" s="1"/>
  <c r="C284" i="7"/>
  <c r="J284" i="7" s="1"/>
  <c r="B284" i="7"/>
  <c r="H283" i="7" s="1"/>
  <c r="N283" i="7" s="1"/>
  <c r="M283" i="7"/>
  <c r="K283" i="7"/>
  <c r="I283" i="7"/>
  <c r="L283" i="7" s="1"/>
  <c r="C283" i="7"/>
  <c r="J283" i="7" s="1"/>
  <c r="B283" i="7"/>
  <c r="M282" i="7"/>
  <c r="L282" i="7"/>
  <c r="K282" i="7"/>
  <c r="J282" i="7"/>
  <c r="I282" i="7"/>
  <c r="H282" i="7"/>
  <c r="N282" i="7" s="1"/>
  <c r="C282" i="7"/>
  <c r="B282" i="7"/>
  <c r="N281" i="7"/>
  <c r="M281" i="7"/>
  <c r="L281" i="7"/>
  <c r="K281" i="7"/>
  <c r="I281" i="7"/>
  <c r="C281" i="7"/>
  <c r="J281" i="7" s="1"/>
  <c r="B281" i="7"/>
  <c r="H281" i="7" s="1"/>
  <c r="M280" i="7"/>
  <c r="K280" i="7"/>
  <c r="I280" i="7"/>
  <c r="L280" i="7" s="1"/>
  <c r="B280" i="7"/>
  <c r="M279" i="7"/>
  <c r="L279" i="7"/>
  <c r="K279" i="7"/>
  <c r="J279" i="7"/>
  <c r="I279" i="7"/>
  <c r="C279" i="7"/>
  <c r="B279" i="7"/>
  <c r="M278" i="7"/>
  <c r="L278" i="7"/>
  <c r="K278" i="7"/>
  <c r="I278" i="7"/>
  <c r="C278" i="7"/>
  <c r="J278" i="7" s="1"/>
  <c r="B278" i="7"/>
  <c r="M277" i="7"/>
  <c r="K277" i="7"/>
  <c r="J277" i="7"/>
  <c r="I277" i="7"/>
  <c r="L277" i="7" s="1"/>
  <c r="H277" i="7"/>
  <c r="N277" i="7" s="1"/>
  <c r="C277" i="7"/>
  <c r="B277" i="7"/>
  <c r="M276" i="7"/>
  <c r="K276" i="7"/>
  <c r="J276" i="7"/>
  <c r="I276" i="7"/>
  <c r="L276" i="7" s="1"/>
  <c r="H276" i="7"/>
  <c r="N276" i="7" s="1"/>
  <c r="C276" i="7"/>
  <c r="B276" i="7"/>
  <c r="M275" i="7"/>
  <c r="L275" i="7"/>
  <c r="K275" i="7"/>
  <c r="I275" i="7"/>
  <c r="B275" i="7"/>
  <c r="M274" i="7"/>
  <c r="L274" i="7"/>
  <c r="K274" i="7"/>
  <c r="I274" i="7"/>
  <c r="C274" i="7"/>
  <c r="J274" i="7" s="1"/>
  <c r="B274" i="7"/>
  <c r="N273" i="7"/>
  <c r="M273" i="7"/>
  <c r="L273" i="7"/>
  <c r="K273" i="7"/>
  <c r="I273" i="7"/>
  <c r="H273" i="7"/>
  <c r="B273" i="7"/>
  <c r="C273" i="7" s="1"/>
  <c r="J273" i="7" s="1"/>
  <c r="M272" i="7"/>
  <c r="K272" i="7"/>
  <c r="J272" i="7"/>
  <c r="I272" i="7"/>
  <c r="L272" i="7" s="1"/>
  <c r="H272" i="7"/>
  <c r="N272" i="7" s="1"/>
  <c r="C272" i="7"/>
  <c r="B272" i="7"/>
  <c r="M271" i="7"/>
  <c r="L271" i="7"/>
  <c r="K271" i="7"/>
  <c r="I271" i="7"/>
  <c r="H271" i="7"/>
  <c r="N271" i="7" s="1"/>
  <c r="B271" i="7"/>
  <c r="M270" i="7"/>
  <c r="K270" i="7"/>
  <c r="I270" i="7"/>
  <c r="L270" i="7" s="1"/>
  <c r="B270" i="7"/>
  <c r="C270" i="7" s="1"/>
  <c r="J270" i="7" s="1"/>
  <c r="M269" i="7"/>
  <c r="K269" i="7"/>
  <c r="I269" i="7"/>
  <c r="L269" i="7" s="1"/>
  <c r="H269" i="7"/>
  <c r="N269" i="7" s="1"/>
  <c r="C269" i="7"/>
  <c r="J269" i="7" s="1"/>
  <c r="B269" i="7"/>
  <c r="M268" i="7"/>
  <c r="L268" i="7"/>
  <c r="K268" i="7"/>
  <c r="J268" i="7"/>
  <c r="I268" i="7"/>
  <c r="H268" i="7"/>
  <c r="N268" i="7" s="1"/>
  <c r="C268" i="7"/>
  <c r="B268" i="7"/>
  <c r="N267" i="7"/>
  <c r="M267" i="7"/>
  <c r="L267" i="7"/>
  <c r="K267" i="7"/>
  <c r="J267" i="7"/>
  <c r="I267" i="7"/>
  <c r="H267" i="7"/>
  <c r="B267" i="7"/>
  <c r="C267" i="7" s="1"/>
  <c r="N266" i="7"/>
  <c r="M266" i="7"/>
  <c r="L266" i="7"/>
  <c r="K266" i="7"/>
  <c r="I266" i="7"/>
  <c r="H266" i="7"/>
  <c r="C266" i="7"/>
  <c r="J266" i="7" s="1"/>
  <c r="B266" i="7"/>
  <c r="M265" i="7"/>
  <c r="K265" i="7"/>
  <c r="I265" i="7"/>
  <c r="L265" i="7" s="1"/>
  <c r="B265" i="7"/>
  <c r="M264" i="7"/>
  <c r="L264" i="7"/>
  <c r="K264" i="7"/>
  <c r="I264" i="7"/>
  <c r="C264" i="7"/>
  <c r="J264" i="7" s="1"/>
  <c r="B264" i="7"/>
  <c r="M263" i="7"/>
  <c r="L263" i="7"/>
  <c r="K263" i="7"/>
  <c r="I263" i="7"/>
  <c r="B263" i="7"/>
  <c r="M262" i="7"/>
  <c r="K262" i="7"/>
  <c r="I262" i="7"/>
  <c r="L262" i="7" s="1"/>
  <c r="C262" i="7"/>
  <c r="J262" i="7" s="1"/>
  <c r="B262" i="7"/>
  <c r="M261" i="7"/>
  <c r="K261" i="7"/>
  <c r="I261" i="7"/>
  <c r="L261" i="7" s="1"/>
  <c r="B261" i="7"/>
  <c r="M260" i="7"/>
  <c r="L260" i="7"/>
  <c r="K260" i="7"/>
  <c r="I260" i="7"/>
  <c r="B260" i="7"/>
  <c r="M259" i="7"/>
  <c r="L259" i="7"/>
  <c r="K259" i="7"/>
  <c r="I259" i="7"/>
  <c r="B259" i="7"/>
  <c r="M258" i="7"/>
  <c r="K258" i="7"/>
  <c r="I258" i="7"/>
  <c r="L258" i="7" s="1"/>
  <c r="C258" i="7"/>
  <c r="J258" i="7" s="1"/>
  <c r="B258" i="7"/>
  <c r="M257" i="7"/>
  <c r="L257" i="7"/>
  <c r="K257" i="7"/>
  <c r="J257" i="7"/>
  <c r="I257" i="7"/>
  <c r="H257" i="7"/>
  <c r="N257" i="7" s="1"/>
  <c r="C257" i="7"/>
  <c r="B257" i="7"/>
  <c r="M256" i="7"/>
  <c r="L256" i="7"/>
  <c r="K256" i="7"/>
  <c r="I256" i="7"/>
  <c r="H256" i="7"/>
  <c r="N256" i="7" s="1"/>
  <c r="C256" i="7"/>
  <c r="J256" i="7" s="1"/>
  <c r="B256" i="7"/>
  <c r="M255" i="7"/>
  <c r="K255" i="7"/>
  <c r="I255" i="7"/>
  <c r="L255" i="7" s="1"/>
  <c r="B255" i="7"/>
  <c r="C255" i="7" s="1"/>
  <c r="J255" i="7" s="1"/>
  <c r="M254" i="7"/>
  <c r="K254" i="7"/>
  <c r="I254" i="7"/>
  <c r="L254" i="7" s="1"/>
  <c r="C254" i="7"/>
  <c r="J254" i="7" s="1"/>
  <c r="B254" i="7"/>
  <c r="M253" i="7"/>
  <c r="L253" i="7"/>
  <c r="K253" i="7"/>
  <c r="J253" i="7"/>
  <c r="I253" i="7"/>
  <c r="B253" i="7"/>
  <c r="C253" i="7" s="1"/>
  <c r="M252" i="7"/>
  <c r="K252" i="7"/>
  <c r="I252" i="7"/>
  <c r="L252" i="7" s="1"/>
  <c r="H252" i="7"/>
  <c r="N252" i="7" s="1"/>
  <c r="C252" i="7"/>
  <c r="J252" i="7" s="1"/>
  <c r="B252" i="7"/>
  <c r="M251" i="7"/>
  <c r="K251" i="7"/>
  <c r="I251" i="7"/>
  <c r="L251" i="7" s="1"/>
  <c r="B251" i="7"/>
  <c r="M250" i="7"/>
  <c r="L250" i="7"/>
  <c r="K250" i="7"/>
  <c r="I250" i="7"/>
  <c r="B250" i="7"/>
  <c r="C250" i="7" s="1"/>
  <c r="J250" i="7" s="1"/>
  <c r="N249" i="7"/>
  <c r="M249" i="7"/>
  <c r="K249" i="7"/>
  <c r="I249" i="7"/>
  <c r="L249" i="7" s="1"/>
  <c r="H249" i="7"/>
  <c r="B249" i="7"/>
  <c r="C249" i="7" s="1"/>
  <c r="J249" i="7" s="1"/>
  <c r="M248" i="7"/>
  <c r="L248" i="7"/>
  <c r="K248" i="7"/>
  <c r="I248" i="7"/>
  <c r="H248" i="7"/>
  <c r="N248" i="7" s="1"/>
  <c r="C248" i="7"/>
  <c r="J248" i="7" s="1"/>
  <c r="B248" i="7"/>
  <c r="M247" i="7"/>
  <c r="L247" i="7"/>
  <c r="K247" i="7"/>
  <c r="J247" i="7"/>
  <c r="I247" i="7"/>
  <c r="H247" i="7"/>
  <c r="N247" i="7" s="1"/>
  <c r="C247" i="7"/>
  <c r="B247" i="7"/>
  <c r="N246" i="7"/>
  <c r="M246" i="7"/>
  <c r="L246" i="7"/>
  <c r="K246" i="7"/>
  <c r="I246" i="7"/>
  <c r="H246" i="7"/>
  <c r="C246" i="7"/>
  <c r="J246" i="7" s="1"/>
  <c r="B246" i="7"/>
  <c r="M245" i="7"/>
  <c r="K245" i="7"/>
  <c r="I245" i="7"/>
  <c r="L245" i="7" s="1"/>
  <c r="B245" i="7"/>
  <c r="H245" i="7" s="1"/>
  <c r="N245" i="7" s="1"/>
  <c r="M244" i="7"/>
  <c r="L244" i="7"/>
  <c r="K244" i="7"/>
  <c r="I244" i="7"/>
  <c r="C244" i="7"/>
  <c r="J244" i="7" s="1"/>
  <c r="B244" i="7"/>
  <c r="M243" i="7"/>
  <c r="L243" i="7"/>
  <c r="K243" i="7"/>
  <c r="I243" i="7"/>
  <c r="B243" i="7"/>
  <c r="M242" i="7"/>
  <c r="K242" i="7"/>
  <c r="I242" i="7"/>
  <c r="L242" i="7" s="1"/>
  <c r="B242" i="7"/>
  <c r="H241" i="7" s="1"/>
  <c r="N241" i="7" s="1"/>
  <c r="M241" i="7"/>
  <c r="L241" i="7"/>
  <c r="K241" i="7"/>
  <c r="I241" i="7"/>
  <c r="B241" i="7"/>
  <c r="M240" i="7"/>
  <c r="L240" i="7"/>
  <c r="K240" i="7"/>
  <c r="I240" i="7"/>
  <c r="B240" i="7"/>
  <c r="C240" i="7" s="1"/>
  <c r="J240" i="7" s="1"/>
  <c r="M239" i="7"/>
  <c r="L239" i="7"/>
  <c r="K239" i="7"/>
  <c r="I239" i="7"/>
  <c r="H239" i="7"/>
  <c r="N239" i="7" s="1"/>
  <c r="B239" i="7"/>
  <c r="M238" i="7"/>
  <c r="L238" i="7"/>
  <c r="K238" i="7"/>
  <c r="I238" i="7"/>
  <c r="C238" i="7"/>
  <c r="J238" i="7" s="1"/>
  <c r="B238" i="7"/>
  <c r="N237" i="7"/>
  <c r="M237" i="7"/>
  <c r="L237" i="7"/>
  <c r="K237" i="7"/>
  <c r="J237" i="7"/>
  <c r="I237" i="7"/>
  <c r="H237" i="7"/>
  <c r="C237" i="7"/>
  <c r="B237" i="7"/>
  <c r="M236" i="7"/>
  <c r="L236" i="7"/>
  <c r="K236" i="7"/>
  <c r="I236" i="7"/>
  <c r="H236" i="7"/>
  <c r="N236" i="7" s="1"/>
  <c r="C236" i="7"/>
  <c r="J236" i="7" s="1"/>
  <c r="B236" i="7"/>
  <c r="M235" i="7"/>
  <c r="K235" i="7"/>
  <c r="J235" i="7"/>
  <c r="I235" i="7"/>
  <c r="L235" i="7" s="1"/>
  <c r="H235" i="7"/>
  <c r="N235" i="7" s="1"/>
  <c r="C235" i="7"/>
  <c r="B235" i="7"/>
  <c r="M234" i="7"/>
  <c r="L234" i="7"/>
  <c r="K234" i="7"/>
  <c r="J234" i="7"/>
  <c r="I234" i="7"/>
  <c r="H234" i="7"/>
  <c r="N234" i="7" s="1"/>
  <c r="C234" i="7"/>
  <c r="B234" i="7"/>
  <c r="M233" i="7"/>
  <c r="L233" i="7"/>
  <c r="K233" i="7"/>
  <c r="J233" i="7"/>
  <c r="I233" i="7"/>
  <c r="B233" i="7"/>
  <c r="C233" i="7" s="1"/>
  <c r="M232" i="7"/>
  <c r="K232" i="7"/>
  <c r="I232" i="7"/>
  <c r="L232" i="7" s="1"/>
  <c r="B232" i="7"/>
  <c r="M231" i="7"/>
  <c r="K231" i="7"/>
  <c r="I231" i="7"/>
  <c r="L231" i="7" s="1"/>
  <c r="B231" i="7"/>
  <c r="C231" i="7" s="1"/>
  <c r="J231" i="7" s="1"/>
  <c r="M230" i="7"/>
  <c r="L230" i="7"/>
  <c r="K230" i="7"/>
  <c r="I230" i="7"/>
  <c r="B230" i="7"/>
  <c r="M229" i="7"/>
  <c r="L229" i="7"/>
  <c r="K229" i="7"/>
  <c r="I229" i="7"/>
  <c r="C229" i="7"/>
  <c r="J229" i="7" s="1"/>
  <c r="B229" i="7"/>
  <c r="M228" i="7"/>
  <c r="K228" i="7"/>
  <c r="J228" i="7"/>
  <c r="I228" i="7"/>
  <c r="L228" i="7" s="1"/>
  <c r="H228" i="7"/>
  <c r="N228" i="7" s="1"/>
  <c r="C228" i="7"/>
  <c r="B228" i="7"/>
  <c r="M227" i="7"/>
  <c r="K227" i="7"/>
  <c r="J227" i="7"/>
  <c r="I227" i="7"/>
  <c r="L227" i="7" s="1"/>
  <c r="H227" i="7"/>
  <c r="N227" i="7" s="1"/>
  <c r="C227" i="7"/>
  <c r="B227" i="7"/>
  <c r="M226" i="7"/>
  <c r="L226" i="7"/>
  <c r="K226" i="7"/>
  <c r="I226" i="7"/>
  <c r="H226" i="7"/>
  <c r="N226" i="7" s="1"/>
  <c r="B226" i="7"/>
  <c r="C226" i="7" s="1"/>
  <c r="J226" i="7" s="1"/>
  <c r="N225" i="7"/>
  <c r="M225" i="7"/>
  <c r="K225" i="7"/>
  <c r="I225" i="7"/>
  <c r="L225" i="7" s="1"/>
  <c r="H225" i="7"/>
  <c r="C225" i="7"/>
  <c r="J225" i="7" s="1"/>
  <c r="B225" i="7"/>
  <c r="M224" i="7"/>
  <c r="L224" i="7"/>
  <c r="K224" i="7"/>
  <c r="J224" i="7"/>
  <c r="I224" i="7"/>
  <c r="H224" i="7"/>
  <c r="N224" i="7" s="1"/>
  <c r="C224" i="7"/>
  <c r="B224" i="7"/>
  <c r="H223" i="7" s="1"/>
  <c r="N223" i="7" s="1"/>
  <c r="M223" i="7"/>
  <c r="L223" i="7"/>
  <c r="K223" i="7"/>
  <c r="I223" i="7"/>
  <c r="B223" i="7"/>
  <c r="M222" i="7"/>
  <c r="K222" i="7"/>
  <c r="I222" i="7"/>
  <c r="L222" i="7" s="1"/>
  <c r="C222" i="7"/>
  <c r="J222" i="7" s="1"/>
  <c r="B222" i="7"/>
  <c r="M221" i="7"/>
  <c r="K221" i="7"/>
  <c r="I221" i="7"/>
  <c r="L221" i="7" s="1"/>
  <c r="H221" i="7"/>
  <c r="N221" i="7" s="1"/>
  <c r="C221" i="7"/>
  <c r="J221" i="7" s="1"/>
  <c r="B221" i="7"/>
  <c r="M220" i="7"/>
  <c r="K220" i="7"/>
  <c r="I220" i="7"/>
  <c r="L220" i="7" s="1"/>
  <c r="B220" i="7"/>
  <c r="M219" i="7"/>
  <c r="K219" i="7"/>
  <c r="I219" i="7"/>
  <c r="L219" i="7" s="1"/>
  <c r="B219" i="7"/>
  <c r="C219" i="7" s="1"/>
  <c r="J219" i="7" s="1"/>
  <c r="M218" i="7"/>
  <c r="K218" i="7"/>
  <c r="J218" i="7"/>
  <c r="I218" i="7"/>
  <c r="L218" i="7" s="1"/>
  <c r="H218" i="7"/>
  <c r="N218" i="7" s="1"/>
  <c r="C218" i="7"/>
  <c r="B218" i="7"/>
  <c r="N217" i="7"/>
  <c r="M217" i="7"/>
  <c r="K217" i="7"/>
  <c r="J217" i="7"/>
  <c r="I217" i="7"/>
  <c r="L217" i="7" s="1"/>
  <c r="H217" i="7"/>
  <c r="C217" i="7"/>
  <c r="B217" i="7"/>
  <c r="M216" i="7"/>
  <c r="L216" i="7"/>
  <c r="K216" i="7"/>
  <c r="I216" i="7"/>
  <c r="B216" i="7"/>
  <c r="C216" i="7" s="1"/>
  <c r="J216" i="7" s="1"/>
  <c r="M215" i="7"/>
  <c r="K215" i="7"/>
  <c r="I215" i="7"/>
  <c r="L215" i="7" s="1"/>
  <c r="C215" i="7"/>
  <c r="J215" i="7" s="1"/>
  <c r="B215" i="7"/>
  <c r="M214" i="7"/>
  <c r="K214" i="7"/>
  <c r="I214" i="7"/>
  <c r="L214" i="7" s="1"/>
  <c r="C214" i="7"/>
  <c r="J214" i="7" s="1"/>
  <c r="B214" i="7"/>
  <c r="H213" i="7" s="1"/>
  <c r="N213" i="7" s="1"/>
  <c r="M213" i="7"/>
  <c r="L213" i="7"/>
  <c r="K213" i="7"/>
  <c r="J213" i="7"/>
  <c r="I213" i="7"/>
  <c r="B213" i="7"/>
  <c r="C213" i="7" s="1"/>
  <c r="M212" i="7"/>
  <c r="K212" i="7"/>
  <c r="I212" i="7"/>
  <c r="L212" i="7" s="1"/>
  <c r="H212" i="7"/>
  <c r="N212" i="7" s="1"/>
  <c r="C212" i="7"/>
  <c r="J212" i="7" s="1"/>
  <c r="B212" i="7"/>
  <c r="M211" i="7"/>
  <c r="L211" i="7"/>
  <c r="K211" i="7"/>
  <c r="J211" i="7"/>
  <c r="I211" i="7"/>
  <c r="H211" i="7"/>
  <c r="N211" i="7" s="1"/>
  <c r="C211" i="7"/>
  <c r="B211" i="7"/>
  <c r="M210" i="7"/>
  <c r="L210" i="7"/>
  <c r="K210" i="7"/>
  <c r="J210" i="7"/>
  <c r="I210" i="7"/>
  <c r="B210" i="7"/>
  <c r="C210" i="7" s="1"/>
  <c r="M209" i="7"/>
  <c r="K209" i="7"/>
  <c r="I209" i="7"/>
  <c r="L209" i="7" s="1"/>
  <c r="B209" i="7"/>
  <c r="M208" i="7"/>
  <c r="L208" i="7"/>
  <c r="K208" i="7"/>
  <c r="I208" i="7"/>
  <c r="B208" i="7"/>
  <c r="M207" i="7"/>
  <c r="L207" i="7"/>
  <c r="K207" i="7"/>
  <c r="J207" i="7"/>
  <c r="I207" i="7"/>
  <c r="C207" i="7"/>
  <c r="B207" i="7"/>
  <c r="M206" i="7"/>
  <c r="L206" i="7"/>
  <c r="K206" i="7"/>
  <c r="I206" i="7"/>
  <c r="H206" i="7"/>
  <c r="N206" i="7" s="1"/>
  <c r="C206" i="7"/>
  <c r="J206" i="7" s="1"/>
  <c r="B206" i="7"/>
  <c r="N205" i="7"/>
  <c r="M205" i="7"/>
  <c r="K205" i="7"/>
  <c r="I205" i="7"/>
  <c r="L205" i="7" s="1"/>
  <c r="H205" i="7"/>
  <c r="B205" i="7"/>
  <c r="C205" i="7" s="1"/>
  <c r="J205" i="7" s="1"/>
  <c r="M204" i="7"/>
  <c r="L204" i="7"/>
  <c r="K204" i="7"/>
  <c r="I204" i="7"/>
  <c r="H204" i="7"/>
  <c r="N204" i="7" s="1"/>
  <c r="C204" i="7"/>
  <c r="J204" i="7" s="1"/>
  <c r="B204" i="7"/>
  <c r="H203" i="7" s="1"/>
  <c r="N203" i="7"/>
  <c r="M203" i="7"/>
  <c r="L203" i="7"/>
  <c r="K203" i="7"/>
  <c r="J203" i="7"/>
  <c r="I203" i="7"/>
  <c r="C203" i="7"/>
  <c r="B203" i="7"/>
  <c r="N202" i="7"/>
  <c r="M202" i="7"/>
  <c r="K202" i="7"/>
  <c r="I202" i="7"/>
  <c r="L202" i="7" s="1"/>
  <c r="H202" i="7"/>
  <c r="C202" i="7"/>
  <c r="J202" i="7" s="1"/>
  <c r="B202" i="7"/>
  <c r="M201" i="7"/>
  <c r="L201" i="7"/>
  <c r="K201" i="7"/>
  <c r="I201" i="7"/>
  <c r="H201" i="7"/>
  <c r="N201" i="7" s="1"/>
  <c r="B201" i="7"/>
  <c r="M200" i="7"/>
  <c r="L200" i="7"/>
  <c r="K200" i="7"/>
  <c r="J200" i="7"/>
  <c r="I200" i="7"/>
  <c r="B200" i="7"/>
  <c r="C200" i="7" s="1"/>
  <c r="M199" i="7"/>
  <c r="K199" i="7"/>
  <c r="I199" i="7"/>
  <c r="L199" i="7" s="1"/>
  <c r="B199" i="7"/>
  <c r="M198" i="7"/>
  <c r="K198" i="7"/>
  <c r="I198" i="7"/>
  <c r="L198" i="7" s="1"/>
  <c r="B198" i="7"/>
  <c r="M197" i="7"/>
  <c r="L197" i="7"/>
  <c r="K197" i="7"/>
  <c r="J197" i="7"/>
  <c r="I197" i="7"/>
  <c r="C197" i="7"/>
  <c r="B197" i="7"/>
  <c r="M196" i="7"/>
  <c r="L196" i="7"/>
  <c r="K196" i="7"/>
  <c r="I196" i="7"/>
  <c r="H196" i="7"/>
  <c r="N196" i="7" s="1"/>
  <c r="C196" i="7"/>
  <c r="J196" i="7" s="1"/>
  <c r="B196" i="7"/>
  <c r="M195" i="7"/>
  <c r="K195" i="7"/>
  <c r="I195" i="7"/>
  <c r="L195" i="7" s="1"/>
  <c r="B195" i="7"/>
  <c r="M194" i="7"/>
  <c r="L194" i="7"/>
  <c r="K194" i="7"/>
  <c r="J194" i="7"/>
  <c r="I194" i="7"/>
  <c r="C194" i="7"/>
  <c r="B194" i="7"/>
  <c r="M193" i="7"/>
  <c r="L193" i="7"/>
  <c r="K193" i="7"/>
  <c r="I193" i="7"/>
  <c r="B193" i="7"/>
  <c r="C193" i="7" s="1"/>
  <c r="J193" i="7" s="1"/>
  <c r="M192" i="7"/>
  <c r="K192" i="7"/>
  <c r="I192" i="7"/>
  <c r="L192" i="7" s="1"/>
  <c r="B192" i="7"/>
  <c r="H192" i="7" s="1"/>
  <c r="N192" i="7" s="1"/>
  <c r="M191" i="7"/>
  <c r="K191" i="7"/>
  <c r="I191" i="7"/>
  <c r="L191" i="7" s="1"/>
  <c r="B191" i="7"/>
  <c r="M190" i="7"/>
  <c r="L190" i="7"/>
  <c r="K190" i="7"/>
  <c r="J190" i="7"/>
  <c r="I190" i="7"/>
  <c r="B190" i="7"/>
  <c r="C190" i="7" s="1"/>
  <c r="M189" i="7"/>
  <c r="K189" i="7"/>
  <c r="I189" i="7"/>
  <c r="L189" i="7" s="1"/>
  <c r="H189" i="7"/>
  <c r="N189" i="7" s="1"/>
  <c r="C189" i="7"/>
  <c r="J189" i="7" s="1"/>
  <c r="B189" i="7"/>
  <c r="M188" i="7"/>
  <c r="K188" i="7"/>
  <c r="J188" i="7"/>
  <c r="I188" i="7"/>
  <c r="L188" i="7" s="1"/>
  <c r="H188" i="7"/>
  <c r="N188" i="7" s="1"/>
  <c r="B188" i="7"/>
  <c r="C188" i="7" s="1"/>
  <c r="M187" i="7"/>
  <c r="K187" i="7"/>
  <c r="J187" i="7"/>
  <c r="I187" i="7"/>
  <c r="L187" i="7" s="1"/>
  <c r="H187" i="7"/>
  <c r="N187" i="7" s="1"/>
  <c r="C187" i="7"/>
  <c r="B187" i="7"/>
  <c r="N186" i="7"/>
  <c r="M186" i="7"/>
  <c r="L186" i="7"/>
  <c r="K186" i="7"/>
  <c r="I186" i="7"/>
  <c r="H186" i="7"/>
  <c r="C186" i="7"/>
  <c r="J186" i="7" s="1"/>
  <c r="B186" i="7"/>
  <c r="M185" i="7"/>
  <c r="K185" i="7"/>
  <c r="I185" i="7"/>
  <c r="L185" i="7" s="1"/>
  <c r="B185" i="7"/>
  <c r="M184" i="7"/>
  <c r="L184" i="7"/>
  <c r="K184" i="7"/>
  <c r="J184" i="7"/>
  <c r="I184" i="7"/>
  <c r="C184" i="7"/>
  <c r="B184" i="7"/>
  <c r="H183" i="7" s="1"/>
  <c r="N183" i="7"/>
  <c r="M183" i="7"/>
  <c r="L183" i="7"/>
  <c r="K183" i="7"/>
  <c r="I183" i="7"/>
  <c r="C183" i="7"/>
  <c r="J183" i="7" s="1"/>
  <c r="B183" i="7"/>
  <c r="M182" i="7"/>
  <c r="K182" i="7"/>
  <c r="I182" i="7"/>
  <c r="L182" i="7" s="1"/>
  <c r="H182" i="7"/>
  <c r="N182" i="7" s="1"/>
  <c r="B182" i="7"/>
  <c r="C182" i="7" s="1"/>
  <c r="J182" i="7" s="1"/>
  <c r="M181" i="7"/>
  <c r="K181" i="7"/>
  <c r="I181" i="7"/>
  <c r="L181" i="7" s="1"/>
  <c r="H181" i="7"/>
  <c r="N181" i="7" s="1"/>
  <c r="B181" i="7"/>
  <c r="M180" i="7"/>
  <c r="L180" i="7"/>
  <c r="K180" i="7"/>
  <c r="J180" i="7"/>
  <c r="I180" i="7"/>
  <c r="B180" i="7"/>
  <c r="C180" i="7" s="1"/>
  <c r="M179" i="7"/>
  <c r="L179" i="7"/>
  <c r="K179" i="7"/>
  <c r="I179" i="7"/>
  <c r="H179" i="7"/>
  <c r="N179" i="7" s="1"/>
  <c r="C179" i="7"/>
  <c r="J179" i="7" s="1"/>
  <c r="B179" i="7"/>
  <c r="M178" i="7"/>
  <c r="K178" i="7"/>
  <c r="J178" i="7"/>
  <c r="I178" i="7"/>
  <c r="L178" i="7" s="1"/>
  <c r="H178" i="7"/>
  <c r="N178" i="7" s="1"/>
  <c r="C178" i="7"/>
  <c r="B178" i="7"/>
  <c r="M177" i="7"/>
  <c r="L177" i="7"/>
  <c r="K177" i="7"/>
  <c r="J177" i="7"/>
  <c r="I177" i="7"/>
  <c r="H177" i="7"/>
  <c r="N177" i="7" s="1"/>
  <c r="C177" i="7"/>
  <c r="B177" i="7"/>
  <c r="M176" i="7"/>
  <c r="L176" i="7"/>
  <c r="K176" i="7"/>
  <c r="I176" i="7"/>
  <c r="B176" i="7"/>
  <c r="M175" i="7"/>
  <c r="K175" i="7"/>
  <c r="J175" i="7"/>
  <c r="I175" i="7"/>
  <c r="L175" i="7" s="1"/>
  <c r="C175" i="7"/>
  <c r="B175" i="7"/>
  <c r="H174" i="7" s="1"/>
  <c r="N174" i="7" s="1"/>
  <c r="M174" i="7"/>
  <c r="K174" i="7"/>
  <c r="J174" i="7"/>
  <c r="I174" i="7"/>
  <c r="L174" i="7" s="1"/>
  <c r="C174" i="7"/>
  <c r="B174" i="7"/>
  <c r="H173" i="7" s="1"/>
  <c r="N173" i="7" s="1"/>
  <c r="M173" i="7"/>
  <c r="L173" i="7"/>
  <c r="K173" i="7"/>
  <c r="I173" i="7"/>
  <c r="B173" i="7"/>
  <c r="C173" i="7" s="1"/>
  <c r="J173" i="7" s="1"/>
  <c r="N172" i="7"/>
  <c r="M172" i="7"/>
  <c r="K172" i="7"/>
  <c r="I172" i="7"/>
  <c r="L172" i="7" s="1"/>
  <c r="H172" i="7"/>
  <c r="B172" i="7"/>
  <c r="M171" i="7"/>
  <c r="L171" i="7"/>
  <c r="K171" i="7"/>
  <c r="J171" i="7"/>
  <c r="I171" i="7"/>
  <c r="C171" i="7"/>
  <c r="B171" i="7"/>
  <c r="M170" i="7"/>
  <c r="L170" i="7"/>
  <c r="K170" i="7"/>
  <c r="I170" i="7"/>
  <c r="B170" i="7"/>
  <c r="M169" i="7"/>
  <c r="L169" i="7"/>
  <c r="K169" i="7"/>
  <c r="I169" i="7"/>
  <c r="B169" i="7"/>
  <c r="M168" i="7"/>
  <c r="L168" i="7"/>
  <c r="K168" i="7"/>
  <c r="J168" i="7"/>
  <c r="I168" i="7"/>
  <c r="C168" i="7"/>
  <c r="B168" i="7"/>
  <c r="N167" i="7"/>
  <c r="M167" i="7"/>
  <c r="K167" i="7"/>
  <c r="J167" i="7"/>
  <c r="I167" i="7"/>
  <c r="L167" i="7" s="1"/>
  <c r="H167" i="7"/>
  <c r="C167" i="7"/>
  <c r="B167" i="7"/>
  <c r="N166" i="7"/>
  <c r="M166" i="7"/>
  <c r="L166" i="7"/>
  <c r="K166" i="7"/>
  <c r="I166" i="7"/>
  <c r="H166" i="7"/>
  <c r="B166" i="7"/>
  <c r="C166" i="7" s="1"/>
  <c r="J166" i="7" s="1"/>
  <c r="N165" i="7"/>
  <c r="M165" i="7"/>
  <c r="K165" i="7"/>
  <c r="J165" i="7"/>
  <c r="I165" i="7"/>
  <c r="L165" i="7" s="1"/>
  <c r="H165" i="7"/>
  <c r="C165" i="7"/>
  <c r="B165" i="7"/>
  <c r="N164" i="7"/>
  <c r="M164" i="7"/>
  <c r="K164" i="7"/>
  <c r="J164" i="7"/>
  <c r="I164" i="7"/>
  <c r="L164" i="7" s="1"/>
  <c r="H164" i="7"/>
  <c r="C164" i="7"/>
  <c r="B164" i="7"/>
  <c r="H163" i="7" s="1"/>
  <c r="N163" i="7"/>
  <c r="M163" i="7"/>
  <c r="L163" i="7"/>
  <c r="K163" i="7"/>
  <c r="J163" i="7"/>
  <c r="I163" i="7"/>
  <c r="C163" i="7"/>
  <c r="B163" i="7"/>
  <c r="N162" i="7"/>
  <c r="M162" i="7"/>
  <c r="K162" i="7"/>
  <c r="I162" i="7"/>
  <c r="L162" i="7" s="1"/>
  <c r="B162" i="7"/>
  <c r="H162" i="7" s="1"/>
  <c r="M161" i="7"/>
  <c r="L161" i="7"/>
  <c r="K161" i="7"/>
  <c r="I161" i="7"/>
  <c r="B161" i="7"/>
  <c r="M160" i="7"/>
  <c r="K160" i="7"/>
  <c r="I160" i="7"/>
  <c r="L160" i="7" s="1"/>
  <c r="B160" i="7"/>
  <c r="M159" i="7"/>
  <c r="K159" i="7"/>
  <c r="I159" i="7"/>
  <c r="L159" i="7" s="1"/>
  <c r="B159" i="7"/>
  <c r="C159" i="7" s="1"/>
  <c r="J159" i="7" s="1"/>
  <c r="M158" i="7"/>
  <c r="K158" i="7"/>
  <c r="I158" i="7"/>
  <c r="L158" i="7" s="1"/>
  <c r="H158" i="7"/>
  <c r="N158" i="7" s="1"/>
  <c r="B158" i="7"/>
  <c r="C158" i="7" s="1"/>
  <c r="J158" i="7" s="1"/>
  <c r="N157" i="7"/>
  <c r="M157" i="7"/>
  <c r="L157" i="7"/>
  <c r="K157" i="7"/>
  <c r="J157" i="7"/>
  <c r="I157" i="7"/>
  <c r="H157" i="7"/>
  <c r="C157" i="7"/>
  <c r="B157" i="7"/>
  <c r="N156" i="7"/>
  <c r="M156" i="7"/>
  <c r="L156" i="7"/>
  <c r="K156" i="7"/>
  <c r="J156" i="7"/>
  <c r="I156" i="7"/>
  <c r="H156" i="7"/>
  <c r="C156" i="7"/>
  <c r="B156" i="7"/>
  <c r="M155" i="7"/>
  <c r="K155" i="7"/>
  <c r="I155" i="7"/>
  <c r="L155" i="7" s="1"/>
  <c r="B155" i="7"/>
  <c r="M154" i="7"/>
  <c r="K154" i="7"/>
  <c r="I154" i="7"/>
  <c r="L154" i="7" s="1"/>
  <c r="B154" i="7"/>
  <c r="M153" i="7"/>
  <c r="K153" i="7"/>
  <c r="I153" i="7"/>
  <c r="L153" i="7" s="1"/>
  <c r="B153" i="7"/>
  <c r="C153" i="7" s="1"/>
  <c r="J153" i="7" s="1"/>
  <c r="M152" i="7"/>
  <c r="L152" i="7"/>
  <c r="K152" i="7"/>
  <c r="J152" i="7"/>
  <c r="I152" i="7"/>
  <c r="C152" i="7"/>
  <c r="B152" i="7"/>
  <c r="M151" i="7"/>
  <c r="L151" i="7"/>
  <c r="K151" i="7"/>
  <c r="I151" i="7"/>
  <c r="H151" i="7"/>
  <c r="N151" i="7" s="1"/>
  <c r="C151" i="7"/>
  <c r="J151" i="7" s="1"/>
  <c r="B151" i="7"/>
  <c r="M150" i="7"/>
  <c r="L150" i="7"/>
  <c r="K150" i="7"/>
  <c r="I150" i="7"/>
  <c r="B150" i="7"/>
  <c r="M149" i="7"/>
  <c r="L149" i="7"/>
  <c r="K149" i="7"/>
  <c r="I149" i="7"/>
  <c r="B149" i="7"/>
  <c r="C149" i="7" s="1"/>
  <c r="J149" i="7" s="1"/>
  <c r="M148" i="7"/>
  <c r="K148" i="7"/>
  <c r="I148" i="7"/>
  <c r="L148" i="7" s="1"/>
  <c r="H148" i="7"/>
  <c r="N148" i="7" s="1"/>
  <c r="C148" i="7"/>
  <c r="J148" i="7" s="1"/>
  <c r="B148" i="7"/>
  <c r="H147" i="7" s="1"/>
  <c r="N147" i="7" s="1"/>
  <c r="M147" i="7"/>
  <c r="K147" i="7"/>
  <c r="I147" i="7"/>
  <c r="L147" i="7" s="1"/>
  <c r="C147" i="7"/>
  <c r="J147" i="7" s="1"/>
  <c r="B147" i="7"/>
  <c r="M146" i="7"/>
  <c r="L146" i="7"/>
  <c r="K146" i="7"/>
  <c r="J146" i="7"/>
  <c r="I146" i="7"/>
  <c r="B146" i="7"/>
  <c r="C146" i="7" s="1"/>
  <c r="M145" i="7"/>
  <c r="K145" i="7"/>
  <c r="I145" i="7"/>
  <c r="L145" i="7" s="1"/>
  <c r="H145" i="7"/>
  <c r="N145" i="7" s="1"/>
  <c r="C145" i="7"/>
  <c r="J145" i="7" s="1"/>
  <c r="B145" i="7"/>
  <c r="M144" i="7"/>
  <c r="K144" i="7"/>
  <c r="I144" i="7"/>
  <c r="L144" i="7" s="1"/>
  <c r="H144" i="7"/>
  <c r="N144" i="7" s="1"/>
  <c r="C144" i="7"/>
  <c r="J144" i="7" s="1"/>
  <c r="B144" i="7"/>
  <c r="M143" i="7"/>
  <c r="K143" i="7"/>
  <c r="J143" i="7"/>
  <c r="I143" i="7"/>
  <c r="L143" i="7" s="1"/>
  <c r="C143" i="7"/>
  <c r="B143" i="7"/>
  <c r="M142" i="7"/>
  <c r="K142" i="7"/>
  <c r="J142" i="7"/>
  <c r="I142" i="7"/>
  <c r="L142" i="7" s="1"/>
  <c r="H142" i="7"/>
  <c r="N142" i="7" s="1"/>
  <c r="B142" i="7"/>
  <c r="C142" i="7" s="1"/>
  <c r="M141" i="7"/>
  <c r="L141" i="7"/>
  <c r="K141" i="7"/>
  <c r="J141" i="7"/>
  <c r="I141" i="7"/>
  <c r="H141" i="7"/>
  <c r="N141" i="7" s="1"/>
  <c r="B141" i="7"/>
  <c r="C141" i="7" s="1"/>
  <c r="M140" i="7"/>
  <c r="L140" i="7"/>
  <c r="K140" i="7"/>
  <c r="J140" i="7"/>
  <c r="I140" i="7"/>
  <c r="B140" i="7"/>
  <c r="C140" i="7" s="1"/>
  <c r="M139" i="7"/>
  <c r="L139" i="7"/>
  <c r="K139" i="7"/>
  <c r="I139" i="7"/>
  <c r="B139" i="7"/>
  <c r="M138" i="7"/>
  <c r="K138" i="7"/>
  <c r="I138" i="7"/>
  <c r="L138" i="7" s="1"/>
  <c r="B138" i="7"/>
  <c r="C138" i="7" s="1"/>
  <c r="J138" i="7" s="1"/>
  <c r="M137" i="7"/>
  <c r="L137" i="7"/>
  <c r="K137" i="7"/>
  <c r="I137" i="7"/>
  <c r="H137" i="7"/>
  <c r="N137" i="7" s="1"/>
  <c r="B137" i="7"/>
  <c r="M136" i="7"/>
  <c r="K136" i="7"/>
  <c r="I136" i="7"/>
  <c r="L136" i="7" s="1"/>
  <c r="B136" i="7"/>
  <c r="C136" i="7" s="1"/>
  <c r="J136" i="7" s="1"/>
  <c r="M135" i="7"/>
  <c r="K135" i="7"/>
  <c r="I135" i="7"/>
  <c r="L135" i="7" s="1"/>
  <c r="B135" i="7"/>
  <c r="M134" i="7"/>
  <c r="L134" i="7"/>
  <c r="K134" i="7"/>
  <c r="I134" i="7"/>
  <c r="B134" i="7"/>
  <c r="C134" i="7" s="1"/>
  <c r="J134" i="7" s="1"/>
  <c r="N133" i="7"/>
  <c r="M133" i="7"/>
  <c r="L133" i="7"/>
  <c r="K133" i="7"/>
  <c r="I133" i="7"/>
  <c r="H133" i="7"/>
  <c r="B133" i="7"/>
  <c r="M132" i="7"/>
  <c r="L132" i="7"/>
  <c r="K132" i="7"/>
  <c r="I132" i="7"/>
  <c r="B132" i="7"/>
  <c r="C132" i="7" s="1"/>
  <c r="J132" i="7" s="1"/>
  <c r="M131" i="7"/>
  <c r="L131" i="7"/>
  <c r="K131" i="7"/>
  <c r="I131" i="7"/>
  <c r="H131" i="7"/>
  <c r="N131" i="7" s="1"/>
  <c r="C131" i="7"/>
  <c r="J131" i="7" s="1"/>
  <c r="B131" i="7"/>
  <c r="M130" i="7"/>
  <c r="K130" i="7"/>
  <c r="I130" i="7"/>
  <c r="L130" i="7" s="1"/>
  <c r="H130" i="7"/>
  <c r="N130" i="7" s="1"/>
  <c r="C130" i="7"/>
  <c r="J130" i="7" s="1"/>
  <c r="B130" i="7"/>
  <c r="M129" i="7"/>
  <c r="L129" i="7"/>
  <c r="K129" i="7"/>
  <c r="I129" i="7"/>
  <c r="H129" i="7"/>
  <c r="N129" i="7" s="1"/>
  <c r="C129" i="7"/>
  <c r="J129" i="7" s="1"/>
  <c r="B129" i="7"/>
  <c r="M128" i="7"/>
  <c r="K128" i="7"/>
  <c r="J128" i="7"/>
  <c r="I128" i="7"/>
  <c r="L128" i="7" s="1"/>
  <c r="H128" i="7"/>
  <c r="N128" i="7" s="1"/>
  <c r="B128" i="7"/>
  <c r="C128" i="7" s="1"/>
  <c r="M127" i="7"/>
  <c r="L127" i="7"/>
  <c r="K127" i="7"/>
  <c r="I127" i="7"/>
  <c r="B127" i="7"/>
  <c r="M126" i="7"/>
  <c r="L126" i="7"/>
  <c r="K126" i="7"/>
  <c r="I126" i="7"/>
  <c r="B126" i="7"/>
  <c r="C126" i="7" s="1"/>
  <c r="J126" i="7" s="1"/>
  <c r="M125" i="7"/>
  <c r="K125" i="7"/>
  <c r="J125" i="7"/>
  <c r="I125" i="7"/>
  <c r="L125" i="7" s="1"/>
  <c r="H125" i="7"/>
  <c r="N125" i="7" s="1"/>
  <c r="C125" i="7"/>
  <c r="B125" i="7"/>
  <c r="M124" i="7"/>
  <c r="K124" i="7"/>
  <c r="I124" i="7"/>
  <c r="L124" i="7" s="1"/>
  <c r="H124" i="7"/>
  <c r="N124" i="7" s="1"/>
  <c r="C124" i="7"/>
  <c r="J124" i="7" s="1"/>
  <c r="B124" i="7"/>
  <c r="M123" i="7"/>
  <c r="K123" i="7"/>
  <c r="J123" i="7"/>
  <c r="I123" i="7"/>
  <c r="L123" i="7" s="1"/>
  <c r="H123" i="7"/>
  <c r="N123" i="7" s="1"/>
  <c r="B123" i="7"/>
  <c r="C123" i="7" s="1"/>
  <c r="M122" i="7"/>
  <c r="L122" i="7"/>
  <c r="K122" i="7"/>
  <c r="I122" i="7"/>
  <c r="B122" i="7"/>
  <c r="M121" i="7"/>
  <c r="K121" i="7"/>
  <c r="I121" i="7"/>
  <c r="L121" i="7" s="1"/>
  <c r="H121" i="7"/>
  <c r="N121" i="7" s="1"/>
  <c r="C121" i="7"/>
  <c r="J121" i="7" s="1"/>
  <c r="B121" i="7"/>
  <c r="M120" i="7"/>
  <c r="K120" i="7"/>
  <c r="J120" i="7"/>
  <c r="I120" i="7"/>
  <c r="L120" i="7" s="1"/>
  <c r="H120" i="7"/>
  <c r="N120" i="7" s="1"/>
  <c r="C120" i="7"/>
  <c r="B120" i="7"/>
  <c r="M119" i="7"/>
  <c r="L119" i="7"/>
  <c r="K119" i="7"/>
  <c r="J119" i="7"/>
  <c r="I119" i="7"/>
  <c r="H119" i="7"/>
  <c r="N119" i="7" s="1"/>
  <c r="C119" i="7"/>
  <c r="B119" i="7"/>
  <c r="M118" i="7"/>
  <c r="K118" i="7"/>
  <c r="I118" i="7"/>
  <c r="L118" i="7" s="1"/>
  <c r="B118" i="7"/>
  <c r="N117" i="7"/>
  <c r="M117" i="7"/>
  <c r="L117" i="7"/>
  <c r="K117" i="7"/>
  <c r="I117" i="7"/>
  <c r="H117" i="7"/>
  <c r="C117" i="7"/>
  <c r="J117" i="7" s="1"/>
  <c r="B117" i="7"/>
  <c r="M116" i="7"/>
  <c r="K116" i="7"/>
  <c r="J116" i="7"/>
  <c r="I116" i="7"/>
  <c r="L116" i="7" s="1"/>
  <c r="C116" i="7"/>
  <c r="B116" i="7"/>
  <c r="M115" i="7"/>
  <c r="L115" i="7"/>
  <c r="K115" i="7"/>
  <c r="I115" i="7"/>
  <c r="B115" i="7"/>
  <c r="M114" i="7"/>
  <c r="K114" i="7"/>
  <c r="J114" i="7"/>
  <c r="I114" i="7"/>
  <c r="L114" i="7" s="1"/>
  <c r="C114" i="7"/>
  <c r="B114" i="7"/>
  <c r="M113" i="7"/>
  <c r="L113" i="7"/>
  <c r="K113" i="7"/>
  <c r="J113" i="7"/>
  <c r="I113" i="7"/>
  <c r="B113" i="7"/>
  <c r="C113" i="7" s="1"/>
  <c r="M112" i="7"/>
  <c r="L112" i="7"/>
  <c r="K112" i="7"/>
  <c r="I112" i="7"/>
  <c r="B112" i="7"/>
  <c r="C112" i="7" s="1"/>
  <c r="J112" i="7" s="1"/>
  <c r="N111" i="7"/>
  <c r="M111" i="7"/>
  <c r="K111" i="7"/>
  <c r="I111" i="7"/>
  <c r="L111" i="7" s="1"/>
  <c r="H111" i="7"/>
  <c r="C111" i="7"/>
  <c r="J111" i="7" s="1"/>
  <c r="B111" i="7"/>
  <c r="M110" i="7"/>
  <c r="K110" i="7"/>
  <c r="I110" i="7"/>
  <c r="L110" i="7" s="1"/>
  <c r="H110" i="7"/>
  <c r="N110" i="7" s="1"/>
  <c r="C110" i="7"/>
  <c r="J110" i="7" s="1"/>
  <c r="B110" i="7"/>
  <c r="N109" i="7"/>
  <c r="M109" i="7"/>
  <c r="L109" i="7"/>
  <c r="K109" i="7"/>
  <c r="J109" i="7"/>
  <c r="I109" i="7"/>
  <c r="H109" i="7"/>
  <c r="B109" i="7"/>
  <c r="C109" i="7" s="1"/>
  <c r="M108" i="7"/>
  <c r="K108" i="7"/>
  <c r="J108" i="7"/>
  <c r="I108" i="7"/>
  <c r="L108" i="7" s="1"/>
  <c r="H108" i="7"/>
  <c r="N108" i="7" s="1"/>
  <c r="C108" i="7"/>
  <c r="B108" i="7"/>
  <c r="M107" i="7"/>
  <c r="L107" i="7"/>
  <c r="K107" i="7"/>
  <c r="J107" i="7"/>
  <c r="I107" i="7"/>
  <c r="H107" i="7"/>
  <c r="N107" i="7" s="1"/>
  <c r="C107" i="7"/>
  <c r="B107" i="7"/>
  <c r="H106" i="7" s="1"/>
  <c r="N106" i="7"/>
  <c r="M106" i="7"/>
  <c r="L106" i="7"/>
  <c r="K106" i="7"/>
  <c r="J106" i="7"/>
  <c r="I106" i="7"/>
  <c r="C106" i="7"/>
  <c r="B106" i="7"/>
  <c r="M105" i="7"/>
  <c r="L105" i="7"/>
  <c r="K105" i="7"/>
  <c r="I105" i="7"/>
  <c r="B105" i="7"/>
  <c r="M104" i="7"/>
  <c r="L104" i="7"/>
  <c r="K104" i="7"/>
  <c r="I104" i="7"/>
  <c r="B104" i="7"/>
  <c r="C104" i="7" s="1"/>
  <c r="J104" i="7" s="1"/>
  <c r="M103" i="7"/>
  <c r="L103" i="7"/>
  <c r="K103" i="7"/>
  <c r="I103" i="7"/>
  <c r="B103" i="7"/>
  <c r="C103" i="7" s="1"/>
  <c r="J103" i="7" s="1"/>
  <c r="M102" i="7"/>
  <c r="K102" i="7"/>
  <c r="I102" i="7"/>
  <c r="L102" i="7" s="1"/>
  <c r="H102" i="7"/>
  <c r="N102" i="7" s="1"/>
  <c r="C102" i="7"/>
  <c r="J102" i="7" s="1"/>
  <c r="B102" i="7"/>
  <c r="M101" i="7"/>
  <c r="K101" i="7"/>
  <c r="J101" i="7"/>
  <c r="I101" i="7"/>
  <c r="L101" i="7" s="1"/>
  <c r="H101" i="7"/>
  <c r="N101" i="7" s="1"/>
  <c r="C101" i="7"/>
  <c r="B101" i="7"/>
  <c r="M100" i="7"/>
  <c r="K100" i="7"/>
  <c r="J100" i="7"/>
  <c r="I100" i="7"/>
  <c r="L100" i="7" s="1"/>
  <c r="H100" i="7"/>
  <c r="N100" i="7" s="1"/>
  <c r="C100" i="7"/>
  <c r="B100" i="7"/>
  <c r="N99" i="7"/>
  <c r="M99" i="7"/>
  <c r="L99" i="7"/>
  <c r="K99" i="7"/>
  <c r="I99" i="7"/>
  <c r="C99" i="7"/>
  <c r="J99" i="7" s="1"/>
  <c r="B99" i="7"/>
  <c r="H99" i="7" s="1"/>
  <c r="N98" i="7"/>
  <c r="M98" i="7"/>
  <c r="K98" i="7"/>
  <c r="I98" i="7"/>
  <c r="L98" i="7" s="1"/>
  <c r="H98" i="7"/>
  <c r="B98" i="7"/>
  <c r="C98" i="7" s="1"/>
  <c r="J98" i="7" s="1"/>
  <c r="M97" i="7"/>
  <c r="L97" i="7"/>
  <c r="K97" i="7"/>
  <c r="I97" i="7"/>
  <c r="H97" i="7"/>
  <c r="N97" i="7" s="1"/>
  <c r="C97" i="7"/>
  <c r="J97" i="7" s="1"/>
  <c r="B97" i="7"/>
  <c r="N96" i="7"/>
  <c r="M96" i="7"/>
  <c r="K96" i="7"/>
  <c r="J96" i="7"/>
  <c r="I96" i="7"/>
  <c r="L96" i="7" s="1"/>
  <c r="H96" i="7"/>
  <c r="C96" i="7"/>
  <c r="B96" i="7"/>
  <c r="M95" i="7"/>
  <c r="L95" i="7"/>
  <c r="K95" i="7"/>
  <c r="I95" i="7"/>
  <c r="B95" i="7"/>
  <c r="H95" i="7" s="1"/>
  <c r="N95" i="7" s="1"/>
  <c r="M94" i="7"/>
  <c r="K94" i="7"/>
  <c r="J94" i="7"/>
  <c r="I94" i="7"/>
  <c r="L94" i="7" s="1"/>
  <c r="B94" i="7"/>
  <c r="C94" i="7" s="1"/>
  <c r="M93" i="7"/>
  <c r="L93" i="7"/>
  <c r="K93" i="7"/>
  <c r="I93" i="7"/>
  <c r="B93" i="7"/>
  <c r="M92" i="7"/>
  <c r="L92" i="7"/>
  <c r="K92" i="7"/>
  <c r="I92" i="7"/>
  <c r="B92" i="7"/>
  <c r="C92" i="7" s="1"/>
  <c r="J92" i="7" s="1"/>
  <c r="M91" i="7"/>
  <c r="K91" i="7"/>
  <c r="I91" i="7"/>
  <c r="L91" i="7" s="1"/>
  <c r="C91" i="7"/>
  <c r="J91" i="7" s="1"/>
  <c r="B91" i="7"/>
  <c r="M90" i="7"/>
  <c r="L90" i="7"/>
  <c r="K90" i="7"/>
  <c r="I90" i="7"/>
  <c r="B90" i="7"/>
  <c r="H89" i="7" s="1"/>
  <c r="N89" i="7" s="1"/>
  <c r="M89" i="7"/>
  <c r="L89" i="7"/>
  <c r="K89" i="7"/>
  <c r="J89" i="7"/>
  <c r="I89" i="7"/>
  <c r="B89" i="7"/>
  <c r="C89" i="7" s="1"/>
  <c r="M88" i="7"/>
  <c r="L88" i="7"/>
  <c r="K88" i="7"/>
  <c r="I88" i="7"/>
  <c r="B88" i="7"/>
  <c r="M87" i="7"/>
  <c r="K87" i="7"/>
  <c r="I87" i="7"/>
  <c r="L87" i="7" s="1"/>
  <c r="C87" i="7"/>
  <c r="J87" i="7" s="1"/>
  <c r="B87" i="7"/>
  <c r="H86" i="7" s="1"/>
  <c r="N86" i="7" s="1"/>
  <c r="M86" i="7"/>
  <c r="K86" i="7"/>
  <c r="I86" i="7"/>
  <c r="L86" i="7" s="1"/>
  <c r="C86" i="7"/>
  <c r="J86" i="7" s="1"/>
  <c r="B86" i="7"/>
  <c r="N85" i="7"/>
  <c r="M85" i="7"/>
  <c r="L85" i="7"/>
  <c r="K85" i="7"/>
  <c r="J85" i="7"/>
  <c r="I85" i="7"/>
  <c r="H85" i="7"/>
  <c r="C85" i="7"/>
  <c r="B85" i="7"/>
  <c r="M84" i="7"/>
  <c r="K84" i="7"/>
  <c r="I84" i="7"/>
  <c r="L84" i="7" s="1"/>
  <c r="B84" i="7"/>
  <c r="M83" i="7"/>
  <c r="L83" i="7"/>
  <c r="K83" i="7"/>
  <c r="I83" i="7"/>
  <c r="B83" i="7"/>
  <c r="H82" i="7" s="1"/>
  <c r="N82" i="7" s="1"/>
  <c r="M82" i="7"/>
  <c r="K82" i="7"/>
  <c r="I82" i="7"/>
  <c r="L82" i="7" s="1"/>
  <c r="B82" i="7"/>
  <c r="H81" i="7" s="1"/>
  <c r="N81" i="7" s="1"/>
  <c r="M81" i="7"/>
  <c r="L81" i="7"/>
  <c r="K81" i="7"/>
  <c r="J81" i="7"/>
  <c r="I81" i="7"/>
  <c r="C81" i="7"/>
  <c r="B81" i="7"/>
  <c r="M80" i="7"/>
  <c r="K80" i="7"/>
  <c r="J80" i="7"/>
  <c r="I80" i="7"/>
  <c r="L80" i="7" s="1"/>
  <c r="H80" i="7"/>
  <c r="N80" i="7" s="1"/>
  <c r="C80" i="7"/>
  <c r="B80" i="7"/>
  <c r="M79" i="7"/>
  <c r="L79" i="7"/>
  <c r="K79" i="7"/>
  <c r="J79" i="7"/>
  <c r="I79" i="7"/>
  <c r="B79" i="7"/>
  <c r="C79" i="7" s="1"/>
  <c r="N78" i="7"/>
  <c r="M78" i="7"/>
  <c r="L78" i="7"/>
  <c r="K78" i="7"/>
  <c r="I78" i="7"/>
  <c r="C78" i="7"/>
  <c r="J78" i="7" s="1"/>
  <c r="B78" i="7"/>
  <c r="H78" i="7" s="1"/>
  <c r="M77" i="7"/>
  <c r="K77" i="7"/>
  <c r="I77" i="7"/>
  <c r="L77" i="7" s="1"/>
  <c r="B77" i="7"/>
  <c r="H77" i="7" s="1"/>
  <c r="N77" i="7" s="1"/>
  <c r="M76" i="7"/>
  <c r="K76" i="7"/>
  <c r="J76" i="7"/>
  <c r="I76" i="7"/>
  <c r="L76" i="7" s="1"/>
  <c r="C76" i="7"/>
  <c r="B76" i="7"/>
  <c r="N75" i="7"/>
  <c r="M75" i="7"/>
  <c r="L75" i="7"/>
  <c r="K75" i="7"/>
  <c r="I75" i="7"/>
  <c r="B75" i="7"/>
  <c r="H75" i="7" s="1"/>
  <c r="N74" i="7"/>
  <c r="M74" i="7"/>
  <c r="K74" i="7"/>
  <c r="I74" i="7"/>
  <c r="L74" i="7" s="1"/>
  <c r="C74" i="7"/>
  <c r="J74" i="7" s="1"/>
  <c r="B74" i="7"/>
  <c r="H74" i="7" s="1"/>
  <c r="M73" i="7"/>
  <c r="K73" i="7"/>
  <c r="I73" i="7"/>
  <c r="L73" i="7" s="1"/>
  <c r="H73" i="7"/>
  <c r="N73" i="7" s="1"/>
  <c r="C73" i="7"/>
  <c r="J73" i="7" s="1"/>
  <c r="B73" i="7"/>
  <c r="M72" i="7"/>
  <c r="K72" i="7"/>
  <c r="I72" i="7"/>
  <c r="L72" i="7" s="1"/>
  <c r="B72" i="7"/>
  <c r="H71" i="7" s="1"/>
  <c r="N71" i="7" s="1"/>
  <c r="M71" i="7"/>
  <c r="K71" i="7"/>
  <c r="J71" i="7"/>
  <c r="I71" i="7"/>
  <c r="L71" i="7" s="1"/>
  <c r="C71" i="7"/>
  <c r="B71" i="7"/>
  <c r="M70" i="7"/>
  <c r="L70" i="7"/>
  <c r="K70" i="7"/>
  <c r="I70" i="7"/>
  <c r="B70" i="7"/>
  <c r="H70" i="7" s="1"/>
  <c r="N70" i="7" s="1"/>
  <c r="M69" i="7"/>
  <c r="L69" i="7"/>
  <c r="K69" i="7"/>
  <c r="I69" i="7"/>
  <c r="B69" i="7"/>
  <c r="H68" i="7" s="1"/>
  <c r="N68" i="7" s="1"/>
  <c r="M68" i="7"/>
  <c r="K68" i="7"/>
  <c r="I68" i="7"/>
  <c r="L68" i="7" s="1"/>
  <c r="B68" i="7"/>
  <c r="H67" i="7" s="1"/>
  <c r="N67" i="7" s="1"/>
  <c r="M67" i="7"/>
  <c r="K67" i="7"/>
  <c r="I67" i="7"/>
  <c r="L67" i="7" s="1"/>
  <c r="B67" i="7"/>
  <c r="H66" i="7" s="1"/>
  <c r="N66" i="7" s="1"/>
  <c r="M66" i="7"/>
  <c r="L66" i="7"/>
  <c r="K66" i="7"/>
  <c r="J66" i="7"/>
  <c r="I66" i="7"/>
  <c r="C66" i="7"/>
  <c r="B66" i="7"/>
  <c r="M65" i="7"/>
  <c r="L65" i="7"/>
  <c r="K65" i="7"/>
  <c r="I65" i="7"/>
  <c r="B65" i="7"/>
  <c r="N64" i="7"/>
  <c r="M64" i="7"/>
  <c r="K64" i="7"/>
  <c r="I64" i="7"/>
  <c r="L64" i="7" s="1"/>
  <c r="H64" i="7"/>
  <c r="C64" i="7"/>
  <c r="J64" i="7" s="1"/>
  <c r="B64" i="7"/>
  <c r="M63" i="7"/>
  <c r="K63" i="7"/>
  <c r="J63" i="7"/>
  <c r="I63" i="7"/>
  <c r="L63" i="7" s="1"/>
  <c r="H63" i="7"/>
  <c r="N63" i="7" s="1"/>
  <c r="C63" i="7"/>
  <c r="B63" i="7"/>
  <c r="M62" i="7"/>
  <c r="K62" i="7"/>
  <c r="I62" i="7"/>
  <c r="L62" i="7" s="1"/>
  <c r="C62" i="7"/>
  <c r="J62" i="7" s="1"/>
  <c r="B62" i="7"/>
  <c r="H61" i="7" s="1"/>
  <c r="N61" i="7" s="1"/>
  <c r="M61" i="7"/>
  <c r="K61" i="7"/>
  <c r="J61" i="7"/>
  <c r="I61" i="7"/>
  <c r="L61" i="7" s="1"/>
  <c r="C61" i="7"/>
  <c r="B61" i="7"/>
  <c r="M60" i="7"/>
  <c r="L60" i="7"/>
  <c r="K60" i="7"/>
  <c r="I60" i="7"/>
  <c r="B60" i="7"/>
  <c r="M59" i="7"/>
  <c r="L59" i="7"/>
  <c r="K59" i="7"/>
  <c r="I59" i="7"/>
  <c r="B59" i="7"/>
  <c r="C59" i="7" s="1"/>
  <c r="J59" i="7" s="1"/>
  <c r="M58" i="7"/>
  <c r="K58" i="7"/>
  <c r="I58" i="7"/>
  <c r="L58" i="7" s="1"/>
  <c r="B58" i="7"/>
  <c r="H57" i="7" s="1"/>
  <c r="N57" i="7" s="1"/>
  <c r="M57" i="7"/>
  <c r="L57" i="7"/>
  <c r="K57" i="7"/>
  <c r="I57" i="7"/>
  <c r="C57" i="7"/>
  <c r="J57" i="7" s="1"/>
  <c r="B57" i="7"/>
  <c r="N56" i="7"/>
  <c r="M56" i="7"/>
  <c r="L56" i="7"/>
  <c r="K56" i="7"/>
  <c r="J56" i="7"/>
  <c r="I56" i="7"/>
  <c r="H56" i="7"/>
  <c r="C56" i="7"/>
  <c r="B56" i="7"/>
  <c r="N55" i="7"/>
  <c r="M55" i="7"/>
  <c r="L55" i="7"/>
  <c r="K55" i="7"/>
  <c r="I55" i="7"/>
  <c r="B55" i="7"/>
  <c r="H55" i="7" s="1"/>
  <c r="M54" i="7"/>
  <c r="K54" i="7"/>
  <c r="I54" i="7"/>
  <c r="L54" i="7" s="1"/>
  <c r="B54" i="7"/>
  <c r="H53" i="7" s="1"/>
  <c r="N53" i="7" s="1"/>
  <c r="M53" i="7"/>
  <c r="K53" i="7"/>
  <c r="I53" i="7"/>
  <c r="L53" i="7" s="1"/>
  <c r="B53" i="7"/>
  <c r="H52" i="7" s="1"/>
  <c r="N52" i="7" s="1"/>
  <c r="M52" i="7"/>
  <c r="K52" i="7"/>
  <c r="J52" i="7"/>
  <c r="I52" i="7"/>
  <c r="L52" i="7" s="1"/>
  <c r="C52" i="7"/>
  <c r="B52" i="7"/>
  <c r="H51" i="7" s="1"/>
  <c r="N51" i="7"/>
  <c r="M51" i="7"/>
  <c r="L51" i="7"/>
  <c r="K51" i="7"/>
  <c r="I51" i="7"/>
  <c r="B51" i="7"/>
  <c r="C51" i="7" s="1"/>
  <c r="J51" i="7" s="1"/>
  <c r="M50" i="7"/>
  <c r="L50" i="7"/>
  <c r="K50" i="7"/>
  <c r="I50" i="7"/>
  <c r="B50" i="7"/>
  <c r="H50" i="7" s="1"/>
  <c r="N50" i="7" s="1"/>
  <c r="M49" i="7"/>
  <c r="K49" i="7"/>
  <c r="I49" i="7"/>
  <c r="L49" i="7" s="1"/>
  <c r="B49" i="7"/>
  <c r="C49" i="7" s="1"/>
  <c r="J49" i="7" s="1"/>
  <c r="M48" i="7"/>
  <c r="K48" i="7"/>
  <c r="I48" i="7"/>
  <c r="L48" i="7" s="1"/>
  <c r="C48" i="7"/>
  <c r="J48" i="7" s="1"/>
  <c r="B48" i="7"/>
  <c r="H47" i="7" s="1"/>
  <c r="N47" i="7" s="1"/>
  <c r="M47" i="7"/>
  <c r="L47" i="7"/>
  <c r="K47" i="7"/>
  <c r="J47" i="7"/>
  <c r="I47" i="7"/>
  <c r="C47" i="7"/>
  <c r="B47" i="7"/>
  <c r="N46" i="7"/>
  <c r="M46" i="7"/>
  <c r="L46" i="7"/>
  <c r="K46" i="7"/>
  <c r="J46" i="7"/>
  <c r="I46" i="7"/>
  <c r="H46" i="7"/>
  <c r="C46" i="7"/>
  <c r="B46" i="7"/>
  <c r="M45" i="7"/>
  <c r="L45" i="7"/>
  <c r="K45" i="7"/>
  <c r="I45" i="7"/>
  <c r="B45" i="7"/>
  <c r="H45" i="7" s="1"/>
  <c r="N45" i="7" s="1"/>
  <c r="M44" i="7"/>
  <c r="K44" i="7"/>
  <c r="I44" i="7"/>
  <c r="L44" i="7" s="1"/>
  <c r="B44" i="7"/>
  <c r="H43" i="7" s="1"/>
  <c r="N43" i="7" s="1"/>
  <c r="M43" i="7"/>
  <c r="K43" i="7"/>
  <c r="I43" i="7"/>
  <c r="L43" i="7" s="1"/>
  <c r="C43" i="7"/>
  <c r="J43" i="7" s="1"/>
  <c r="B43" i="7"/>
  <c r="H42" i="7" s="1"/>
  <c r="N42" i="7"/>
  <c r="M42" i="7"/>
  <c r="L42" i="7"/>
  <c r="K42" i="7"/>
  <c r="J42" i="7"/>
  <c r="I42" i="7"/>
  <c r="C42" i="7"/>
  <c r="B42" i="7"/>
  <c r="H41" i="7" s="1"/>
  <c r="N41" i="7"/>
  <c r="M41" i="7"/>
  <c r="L41" i="7"/>
  <c r="K41" i="7"/>
  <c r="I41" i="7"/>
  <c r="B41" i="7"/>
  <c r="C41" i="7" s="1"/>
  <c r="J41" i="7" s="1"/>
  <c r="M40" i="7"/>
  <c r="L40" i="7"/>
  <c r="K40" i="7"/>
  <c r="I40" i="7"/>
  <c r="B40" i="7"/>
  <c r="H39" i="7" s="1"/>
  <c r="N39" i="7" s="1"/>
  <c r="M39" i="7"/>
  <c r="K39" i="7"/>
  <c r="I39" i="7"/>
  <c r="L39" i="7" s="1"/>
  <c r="B39" i="7"/>
  <c r="C39" i="7" s="1"/>
  <c r="J39" i="7" s="1"/>
  <c r="M38" i="7"/>
  <c r="K38" i="7"/>
  <c r="I38" i="7"/>
  <c r="L38" i="7" s="1"/>
  <c r="C38" i="7"/>
  <c r="J38" i="7" s="1"/>
  <c r="B38" i="7"/>
  <c r="H37" i="7" s="1"/>
  <c r="N37" i="7"/>
  <c r="M37" i="7"/>
  <c r="K37" i="7"/>
  <c r="J37" i="7"/>
  <c r="I37" i="7"/>
  <c r="L37" i="7" s="1"/>
  <c r="C37" i="7"/>
  <c r="B37" i="7"/>
  <c r="N36" i="7"/>
  <c r="M36" i="7"/>
  <c r="L36" i="7"/>
  <c r="K36" i="7"/>
  <c r="J36" i="7"/>
  <c r="I36" i="7"/>
  <c r="H36" i="7"/>
  <c r="C36" i="7"/>
  <c r="B36" i="7"/>
  <c r="M35" i="7"/>
  <c r="L35" i="7"/>
  <c r="K35" i="7"/>
  <c r="I35" i="7"/>
  <c r="B35" i="7"/>
  <c r="H35" i="7" s="1"/>
  <c r="N35" i="7" s="1"/>
  <c r="M34" i="7"/>
  <c r="K34" i="7"/>
  <c r="J34" i="7"/>
  <c r="I34" i="7"/>
  <c r="L34" i="7" s="1"/>
  <c r="C34" i="7"/>
  <c r="B34" i="7"/>
  <c r="M33" i="7"/>
  <c r="K33" i="7"/>
  <c r="J33" i="7"/>
  <c r="I33" i="7"/>
  <c r="L33" i="7" s="1"/>
  <c r="H33" i="7"/>
  <c r="N33" i="7" s="1"/>
  <c r="C33" i="7"/>
  <c r="B33" i="7"/>
  <c r="H32" i="7" s="1"/>
  <c r="N32" i="7"/>
  <c r="M32" i="7"/>
  <c r="L32" i="7"/>
  <c r="K32" i="7"/>
  <c r="J32" i="7"/>
  <c r="I32" i="7"/>
  <c r="C32" i="7"/>
  <c r="B32" i="7"/>
  <c r="M31" i="7"/>
  <c r="L31" i="7"/>
  <c r="K31" i="7"/>
  <c r="I31" i="7"/>
  <c r="B31" i="7"/>
  <c r="H31" i="7" s="1"/>
  <c r="N31" i="7" s="1"/>
  <c r="M30" i="7"/>
  <c r="K30" i="7"/>
  <c r="I30" i="7"/>
  <c r="L30" i="7" s="1"/>
  <c r="B30" i="7"/>
  <c r="H29" i="7" s="1"/>
  <c r="N29" i="7" s="1"/>
  <c r="M29" i="7"/>
  <c r="K29" i="7"/>
  <c r="I29" i="7"/>
  <c r="L29" i="7" s="1"/>
  <c r="B29" i="7"/>
  <c r="C29" i="7" s="1"/>
  <c r="J29" i="7" s="1"/>
  <c r="M28" i="7"/>
  <c r="L28" i="7"/>
  <c r="K28" i="7"/>
  <c r="I28" i="7"/>
  <c r="C28" i="7"/>
  <c r="J28" i="7" s="1"/>
  <c r="B28" i="7"/>
  <c r="H27" i="7" s="1"/>
  <c r="N27" i="7"/>
  <c r="M27" i="7"/>
  <c r="L27" i="7"/>
  <c r="K27" i="7"/>
  <c r="I27" i="7"/>
  <c r="B27" i="7"/>
  <c r="C27" i="7" s="1"/>
  <c r="J27" i="7" s="1"/>
  <c r="M26" i="7"/>
  <c r="L26" i="7"/>
  <c r="K26" i="7"/>
  <c r="I26" i="7"/>
  <c r="C26" i="7"/>
  <c r="J26" i="7" s="1"/>
  <c r="B26" i="7"/>
  <c r="M25" i="7"/>
  <c r="L25" i="7"/>
  <c r="K25" i="7"/>
  <c r="I25" i="7"/>
  <c r="B25" i="7"/>
  <c r="H24" i="7" s="1"/>
  <c r="N24" i="7" s="1"/>
  <c r="M24" i="7"/>
  <c r="K24" i="7"/>
  <c r="J24" i="7"/>
  <c r="I24" i="7"/>
  <c r="L24" i="7" s="1"/>
  <c r="C24" i="7"/>
  <c r="B24" i="7"/>
  <c r="N23" i="7"/>
  <c r="M23" i="7"/>
  <c r="K23" i="7"/>
  <c r="J23" i="7"/>
  <c r="I23" i="7"/>
  <c r="L23" i="7" s="1"/>
  <c r="H23" i="7"/>
  <c r="C23" i="7"/>
  <c r="B23" i="7"/>
  <c r="M22" i="7"/>
  <c r="L22" i="7"/>
  <c r="K22" i="7"/>
  <c r="I22" i="7"/>
  <c r="B22" i="7"/>
  <c r="C22" i="7" s="1"/>
  <c r="J22" i="7" s="1"/>
  <c r="N21" i="7"/>
  <c r="M21" i="7"/>
  <c r="L21" i="7"/>
  <c r="K21" i="7"/>
  <c r="I21" i="7"/>
  <c r="H21" i="7"/>
  <c r="C21" i="7"/>
  <c r="J21" i="7" s="1"/>
  <c r="B21" i="7"/>
  <c r="M20" i="7"/>
  <c r="K20" i="7"/>
  <c r="I20" i="7"/>
  <c r="L20" i="7" s="1"/>
  <c r="H20" i="7"/>
  <c r="N20" i="7" s="1"/>
  <c r="B20" i="7"/>
  <c r="C20" i="7" s="1"/>
  <c r="J20" i="7" s="1"/>
  <c r="M19" i="7"/>
  <c r="K19" i="7"/>
  <c r="J19" i="7"/>
  <c r="I19" i="7"/>
  <c r="L19" i="7" s="1"/>
  <c r="H19" i="7"/>
  <c r="N19" i="7" s="1"/>
  <c r="B19" i="7"/>
  <c r="C19" i="7" s="1"/>
  <c r="M18" i="7"/>
  <c r="K18" i="7"/>
  <c r="I18" i="7"/>
  <c r="L18" i="7" s="1"/>
  <c r="H18" i="7"/>
  <c r="N18" i="7" s="1"/>
  <c r="C18" i="7"/>
  <c r="J18" i="7" s="1"/>
  <c r="B18" i="7"/>
  <c r="H17" i="7" s="1"/>
  <c r="N17" i="7" s="1"/>
  <c r="M17" i="7"/>
  <c r="L17" i="7"/>
  <c r="K17" i="7"/>
  <c r="I17" i="7"/>
  <c r="B17" i="7"/>
  <c r="C17" i="7" s="1"/>
  <c r="J17" i="7" s="1"/>
  <c r="M16" i="7"/>
  <c r="L16" i="7"/>
  <c r="K16" i="7"/>
  <c r="I16" i="7"/>
  <c r="C16" i="7"/>
  <c r="J16" i="7" s="1"/>
  <c r="B16" i="7"/>
  <c r="M15" i="7"/>
  <c r="L15" i="7"/>
  <c r="K15" i="7"/>
  <c r="J15" i="7"/>
  <c r="I15" i="7"/>
  <c r="H15" i="7"/>
  <c r="N15" i="7" s="1"/>
  <c r="C15" i="7"/>
  <c r="B15" i="7"/>
  <c r="M14" i="7"/>
  <c r="K14" i="7"/>
  <c r="I14" i="7"/>
  <c r="L14" i="7" s="1"/>
  <c r="H14" i="7"/>
  <c r="N14" i="7" s="1"/>
  <c r="C14" i="7"/>
  <c r="J14" i="7" s="1"/>
  <c r="B14" i="7"/>
  <c r="M13" i="7"/>
  <c r="K13" i="7"/>
  <c r="I13" i="7"/>
  <c r="L13" i="7" s="1"/>
  <c r="B13" i="7"/>
  <c r="C13" i="7" s="1"/>
  <c r="J13" i="7" s="1"/>
  <c r="M12" i="7"/>
  <c r="L12" i="7"/>
  <c r="K12" i="7"/>
  <c r="I12" i="7"/>
  <c r="B12" i="7"/>
  <c r="C12" i="7" s="1"/>
  <c r="J12" i="7" s="1"/>
  <c r="M11" i="7"/>
  <c r="K11" i="7"/>
  <c r="I11" i="7"/>
  <c r="L11" i="7" s="1"/>
  <c r="B11" i="7"/>
  <c r="C11" i="7" s="1"/>
  <c r="J11" i="7" s="1"/>
  <c r="M10" i="7"/>
  <c r="K10" i="7"/>
  <c r="I10" i="7"/>
  <c r="L10" i="7" s="1"/>
  <c r="B10" i="7"/>
  <c r="C10" i="7" s="1"/>
  <c r="J10" i="7" s="1"/>
  <c r="M9" i="7"/>
  <c r="K9" i="7"/>
  <c r="I9" i="7"/>
  <c r="L9" i="7" s="1"/>
  <c r="B9" i="7"/>
  <c r="C9" i="7" s="1"/>
  <c r="J9" i="7" s="1"/>
  <c r="M8" i="7"/>
  <c r="L8" i="7"/>
  <c r="K8" i="7"/>
  <c r="I8" i="7"/>
  <c r="C8" i="7"/>
  <c r="J8" i="7" s="1"/>
  <c r="B8" i="7"/>
  <c r="N7" i="7"/>
  <c r="M7" i="7"/>
  <c r="L7" i="7"/>
  <c r="K7" i="7"/>
  <c r="I7" i="7"/>
  <c r="B7" i="7"/>
  <c r="H7" i="7" s="1"/>
  <c r="M6" i="7"/>
  <c r="K6" i="7"/>
  <c r="I6" i="7"/>
  <c r="L6" i="7" s="1"/>
  <c r="C6" i="7"/>
  <c r="J6" i="7" s="1"/>
  <c r="B6" i="7"/>
  <c r="M5" i="7"/>
  <c r="L5" i="7"/>
  <c r="K5" i="7"/>
  <c r="I5" i="7"/>
  <c r="B5" i="7"/>
  <c r="H4" i="7" s="1"/>
  <c r="N4" i="7" s="1"/>
  <c r="M4" i="7"/>
  <c r="K4" i="7"/>
  <c r="J4" i="7"/>
  <c r="I4" i="7"/>
  <c r="L4" i="7" s="1"/>
  <c r="C4" i="7"/>
  <c r="B4" i="7"/>
  <c r="M3" i="7"/>
  <c r="L3" i="7"/>
  <c r="K3" i="7"/>
  <c r="I3" i="7"/>
  <c r="B3" i="7"/>
  <c r="M2" i="7"/>
  <c r="L2" i="7"/>
  <c r="K2" i="7"/>
  <c r="I2" i="7"/>
  <c r="B2" i="7"/>
  <c r="H60" i="7" l="1"/>
  <c r="N60" i="7" s="1"/>
  <c r="C60" i="7"/>
  <c r="J60" i="7" s="1"/>
  <c r="H9" i="7"/>
  <c r="N9" i="7" s="1"/>
  <c r="H34" i="7"/>
  <c r="N34" i="7" s="1"/>
  <c r="H38" i="7"/>
  <c r="N38" i="7" s="1"/>
  <c r="H72" i="7"/>
  <c r="N72" i="7" s="1"/>
  <c r="H76" i="7"/>
  <c r="N76" i="7" s="1"/>
  <c r="C90" i="7"/>
  <c r="J90" i="7" s="1"/>
  <c r="C30" i="7"/>
  <c r="J30" i="7" s="1"/>
  <c r="C50" i="7"/>
  <c r="J50" i="7" s="1"/>
  <c r="H16" i="7"/>
  <c r="N16" i="7" s="1"/>
  <c r="H30" i="7"/>
  <c r="N30" i="7" s="1"/>
  <c r="C44" i="7"/>
  <c r="J44" i="7" s="1"/>
  <c r="C45" i="7"/>
  <c r="J45" i="7" s="1"/>
  <c r="H49" i="7"/>
  <c r="N49" i="7" s="1"/>
  <c r="C72" i="7"/>
  <c r="J72" i="7" s="1"/>
  <c r="C160" i="7"/>
  <c r="J160" i="7" s="1"/>
  <c r="H159" i="7"/>
  <c r="N159" i="7" s="1"/>
  <c r="H209" i="7"/>
  <c r="N209" i="7" s="1"/>
  <c r="C209" i="7"/>
  <c r="J209" i="7" s="1"/>
  <c r="H208" i="7"/>
  <c r="N208" i="7" s="1"/>
  <c r="H406" i="7"/>
  <c r="N406" i="7" s="1"/>
  <c r="H407" i="7"/>
  <c r="N407" i="7" s="1"/>
  <c r="C407" i="7"/>
  <c r="J407" i="7" s="1"/>
  <c r="H10" i="7"/>
  <c r="N10" i="7" s="1"/>
  <c r="H44" i="7"/>
  <c r="N44" i="7" s="1"/>
  <c r="H88" i="7"/>
  <c r="N88" i="7" s="1"/>
  <c r="C88" i="7"/>
  <c r="J88" i="7" s="1"/>
  <c r="H48" i="7"/>
  <c r="N48" i="7" s="1"/>
  <c r="H87" i="7"/>
  <c r="N87" i="7" s="1"/>
  <c r="H5" i="7"/>
  <c r="N5" i="7" s="1"/>
  <c r="H58" i="7"/>
  <c r="N58" i="7" s="1"/>
  <c r="H190" i="7"/>
  <c r="N190" i="7" s="1"/>
  <c r="C191" i="7"/>
  <c r="J191" i="7" s="1"/>
  <c r="C5" i="7"/>
  <c r="J5" i="7" s="1"/>
  <c r="C58" i="7"/>
  <c r="J58" i="7" s="1"/>
  <c r="C54" i="7"/>
  <c r="J54" i="7" s="1"/>
  <c r="C55" i="7"/>
  <c r="J55" i="7" s="1"/>
  <c r="C67" i="7"/>
  <c r="J67" i="7" s="1"/>
  <c r="C68" i="7"/>
  <c r="J68" i="7" s="1"/>
  <c r="C230" i="7"/>
  <c r="J230" i="7" s="1"/>
  <c r="H229" i="7"/>
  <c r="N229" i="7" s="1"/>
  <c r="H6" i="7"/>
  <c r="N6" i="7" s="1"/>
  <c r="H8" i="7"/>
  <c r="N8" i="7" s="1"/>
  <c r="H25" i="7"/>
  <c r="N25" i="7" s="1"/>
  <c r="H28" i="7"/>
  <c r="N28" i="7" s="1"/>
  <c r="C40" i="7"/>
  <c r="J40" i="7" s="1"/>
  <c r="C53" i="7"/>
  <c r="J53" i="7" s="1"/>
  <c r="H54" i="7"/>
  <c r="N54" i="7" s="1"/>
  <c r="C83" i="7"/>
  <c r="J83" i="7" s="1"/>
  <c r="H84" i="7"/>
  <c r="N84" i="7" s="1"/>
  <c r="C84" i="7"/>
  <c r="J84" i="7" s="1"/>
  <c r="H134" i="7"/>
  <c r="N134" i="7" s="1"/>
  <c r="C135" i="7"/>
  <c r="J135" i="7" s="1"/>
  <c r="H191" i="7"/>
  <c r="N191" i="7" s="1"/>
  <c r="C260" i="7"/>
  <c r="J260" i="7" s="1"/>
  <c r="H259" i="7"/>
  <c r="N259" i="7" s="1"/>
  <c r="C31" i="7"/>
  <c r="J31" i="7" s="1"/>
  <c r="H11" i="7"/>
  <c r="N11" i="7" s="1"/>
  <c r="H139" i="7"/>
  <c r="N139" i="7" s="1"/>
  <c r="H138" i="7"/>
  <c r="N138" i="7" s="1"/>
  <c r="H59" i="7"/>
  <c r="N59" i="7" s="1"/>
  <c r="C139" i="7"/>
  <c r="J139" i="7" s="1"/>
  <c r="H244" i="7"/>
  <c r="N244" i="7" s="1"/>
  <c r="C245" i="7"/>
  <c r="J245" i="7" s="1"/>
  <c r="H254" i="7"/>
  <c r="N254" i="7" s="1"/>
  <c r="H255" i="7"/>
  <c r="N255" i="7" s="1"/>
  <c r="H2" i="7"/>
  <c r="H3" i="7"/>
  <c r="N3" i="7" s="1"/>
  <c r="C3" i="7"/>
  <c r="J3" i="7" s="1"/>
  <c r="C7" i="7"/>
  <c r="J7" i="7" s="1"/>
  <c r="C69" i="7"/>
  <c r="J69" i="7" s="1"/>
  <c r="H69" i="7"/>
  <c r="N69" i="7" s="1"/>
  <c r="D29" i="8"/>
  <c r="D28" i="8"/>
  <c r="C2" i="7"/>
  <c r="J2" i="7" s="1"/>
  <c r="C35" i="7"/>
  <c r="J35" i="7" s="1"/>
  <c r="H40" i="7"/>
  <c r="N40" i="7" s="1"/>
  <c r="H62" i="7"/>
  <c r="N62" i="7" s="1"/>
  <c r="C77" i="7"/>
  <c r="J77" i="7" s="1"/>
  <c r="C82" i="7"/>
  <c r="J82" i="7" s="1"/>
  <c r="H83" i="7"/>
  <c r="N83" i="7" s="1"/>
  <c r="H103" i="7"/>
  <c r="N103" i="7" s="1"/>
  <c r="C25" i="7"/>
  <c r="J25" i="7" s="1"/>
  <c r="O3" i="7"/>
  <c r="H65" i="7"/>
  <c r="N65" i="7" s="1"/>
  <c r="C65" i="7"/>
  <c r="J65" i="7" s="1"/>
  <c r="H91" i="7"/>
  <c r="N91" i="7" s="1"/>
  <c r="H90" i="7"/>
  <c r="N90" i="7" s="1"/>
  <c r="H325" i="7"/>
  <c r="N325" i="7" s="1"/>
  <c r="C325" i="7"/>
  <c r="J325" i="7" s="1"/>
  <c r="H324" i="7"/>
  <c r="N324" i="7" s="1"/>
  <c r="H105" i="7"/>
  <c r="N105" i="7" s="1"/>
  <c r="C105" i="7"/>
  <c r="J105" i="7" s="1"/>
  <c r="H104" i="7"/>
  <c r="N104" i="7" s="1"/>
  <c r="C243" i="7"/>
  <c r="J243" i="7" s="1"/>
  <c r="H242" i="7"/>
  <c r="N242" i="7" s="1"/>
  <c r="H312" i="7"/>
  <c r="N312" i="7" s="1"/>
  <c r="C312" i="7"/>
  <c r="J312" i="7" s="1"/>
  <c r="H311" i="7"/>
  <c r="N311" i="7" s="1"/>
  <c r="C170" i="7"/>
  <c r="J170" i="7" s="1"/>
  <c r="H169" i="7"/>
  <c r="N169" i="7" s="1"/>
  <c r="C232" i="7"/>
  <c r="J232" i="7" s="1"/>
  <c r="H231" i="7"/>
  <c r="N231" i="7" s="1"/>
  <c r="H232" i="7"/>
  <c r="N232" i="7" s="1"/>
  <c r="C259" i="7"/>
  <c r="J259" i="7" s="1"/>
  <c r="H258" i="7"/>
  <c r="N258" i="7" s="1"/>
  <c r="H126" i="7"/>
  <c r="N126" i="7" s="1"/>
  <c r="H127" i="7"/>
  <c r="N127" i="7" s="1"/>
  <c r="H296" i="7"/>
  <c r="N296" i="7" s="1"/>
  <c r="H297" i="7"/>
  <c r="N297" i="7" s="1"/>
  <c r="C127" i="7"/>
  <c r="J127" i="7" s="1"/>
  <c r="H136" i="7"/>
  <c r="N136" i="7" s="1"/>
  <c r="C137" i="7"/>
  <c r="J137" i="7" s="1"/>
  <c r="C150" i="7"/>
  <c r="J150" i="7" s="1"/>
  <c r="H150" i="7"/>
  <c r="N150" i="7" s="1"/>
  <c r="H176" i="7"/>
  <c r="N176" i="7" s="1"/>
  <c r="C176" i="7"/>
  <c r="J176" i="7" s="1"/>
  <c r="H175" i="7"/>
  <c r="N175" i="7" s="1"/>
  <c r="C208" i="7"/>
  <c r="J208" i="7" s="1"/>
  <c r="H207" i="7"/>
  <c r="N207" i="7" s="1"/>
  <c r="C223" i="7"/>
  <c r="J223" i="7" s="1"/>
  <c r="H222" i="7"/>
  <c r="N222" i="7" s="1"/>
  <c r="C242" i="7"/>
  <c r="J242" i="7" s="1"/>
  <c r="C297" i="7"/>
  <c r="J297" i="7" s="1"/>
  <c r="C169" i="7"/>
  <c r="J169" i="7" s="1"/>
  <c r="H168" i="7"/>
  <c r="N168" i="7" s="1"/>
  <c r="H195" i="7"/>
  <c r="N195" i="7" s="1"/>
  <c r="C195" i="7"/>
  <c r="J195" i="7" s="1"/>
  <c r="H194" i="7"/>
  <c r="N194" i="7" s="1"/>
  <c r="H264" i="7"/>
  <c r="N264" i="7" s="1"/>
  <c r="C265" i="7"/>
  <c r="J265" i="7" s="1"/>
  <c r="C275" i="7"/>
  <c r="J275" i="7" s="1"/>
  <c r="H275" i="7"/>
  <c r="N275" i="7" s="1"/>
  <c r="H274" i="7"/>
  <c r="N274" i="7" s="1"/>
  <c r="H26" i="7"/>
  <c r="N26" i="7" s="1"/>
  <c r="H92" i="7"/>
  <c r="N92" i="7" s="1"/>
  <c r="H93" i="7"/>
  <c r="N93" i="7" s="1"/>
  <c r="H185" i="7"/>
  <c r="N185" i="7" s="1"/>
  <c r="C185" i="7"/>
  <c r="J185" i="7" s="1"/>
  <c r="H184" i="7"/>
  <c r="N184" i="7" s="1"/>
  <c r="C192" i="7"/>
  <c r="J192" i="7" s="1"/>
  <c r="C220" i="7"/>
  <c r="J220" i="7" s="1"/>
  <c r="H219" i="7"/>
  <c r="N219" i="7" s="1"/>
  <c r="H250" i="7"/>
  <c r="N250" i="7" s="1"/>
  <c r="C251" i="7"/>
  <c r="J251" i="7" s="1"/>
  <c r="H265" i="7"/>
  <c r="N265" i="7" s="1"/>
  <c r="H22" i="7"/>
  <c r="N22" i="7" s="1"/>
  <c r="C70" i="7"/>
  <c r="J70" i="7" s="1"/>
  <c r="C75" i="7"/>
  <c r="J75" i="7" s="1"/>
  <c r="H79" i="7"/>
  <c r="N79" i="7" s="1"/>
  <c r="C93" i="7"/>
  <c r="J93" i="7" s="1"/>
  <c r="C95" i="7"/>
  <c r="J95" i="7" s="1"/>
  <c r="H115" i="7"/>
  <c r="N115" i="7" s="1"/>
  <c r="H114" i="7"/>
  <c r="N114" i="7" s="1"/>
  <c r="C115" i="7"/>
  <c r="J115" i="7" s="1"/>
  <c r="H135" i="7"/>
  <c r="N135" i="7" s="1"/>
  <c r="H146" i="7"/>
  <c r="N146" i="7" s="1"/>
  <c r="H251" i="7"/>
  <c r="N251" i="7" s="1"/>
  <c r="C365" i="7"/>
  <c r="J365" i="7" s="1"/>
  <c r="H364" i="7"/>
  <c r="N364" i="7" s="1"/>
  <c r="H12" i="7"/>
  <c r="N12" i="7" s="1"/>
  <c r="H13" i="7"/>
  <c r="N13" i="7" s="1"/>
  <c r="H94" i="7"/>
  <c r="N94" i="7" s="1"/>
  <c r="H122" i="7"/>
  <c r="N122" i="7" s="1"/>
  <c r="C122" i="7"/>
  <c r="J122" i="7" s="1"/>
  <c r="C133" i="7"/>
  <c r="J133" i="7" s="1"/>
  <c r="H132" i="7"/>
  <c r="N132" i="7" s="1"/>
  <c r="H149" i="7"/>
  <c r="N149" i="7" s="1"/>
  <c r="H200" i="7"/>
  <c r="N200" i="7" s="1"/>
  <c r="C201" i="7"/>
  <c r="J201" i="7" s="1"/>
  <c r="H160" i="7"/>
  <c r="N160" i="7" s="1"/>
  <c r="C161" i="7"/>
  <c r="J161" i="7" s="1"/>
  <c r="H214" i="7"/>
  <c r="N214" i="7" s="1"/>
  <c r="H215" i="7"/>
  <c r="N215" i="7" s="1"/>
  <c r="H220" i="7"/>
  <c r="N220" i="7" s="1"/>
  <c r="H287" i="7"/>
  <c r="N287" i="7" s="1"/>
  <c r="C287" i="7"/>
  <c r="J287" i="7" s="1"/>
  <c r="H385" i="7"/>
  <c r="N385" i="7" s="1"/>
  <c r="C386" i="7"/>
  <c r="J386" i="7" s="1"/>
  <c r="H155" i="7"/>
  <c r="N155" i="7" s="1"/>
  <c r="H154" i="7"/>
  <c r="N154" i="7" s="1"/>
  <c r="C155" i="7"/>
  <c r="J155" i="7" s="1"/>
  <c r="H199" i="7"/>
  <c r="N199" i="7" s="1"/>
  <c r="H198" i="7"/>
  <c r="N198" i="7" s="1"/>
  <c r="C199" i="7"/>
  <c r="J199" i="7" s="1"/>
  <c r="H310" i="7"/>
  <c r="N310" i="7" s="1"/>
  <c r="C311" i="7"/>
  <c r="J311" i="7" s="1"/>
  <c r="H116" i="7"/>
  <c r="N116" i="7" s="1"/>
  <c r="C363" i="7"/>
  <c r="J363" i="7" s="1"/>
  <c r="H118" i="7"/>
  <c r="N118" i="7" s="1"/>
  <c r="C118" i="7"/>
  <c r="J118" i="7" s="1"/>
  <c r="H153" i="7"/>
  <c r="N153" i="7" s="1"/>
  <c r="C154" i="7"/>
  <c r="J154" i="7" s="1"/>
  <c r="H197" i="7"/>
  <c r="N197" i="7" s="1"/>
  <c r="C198" i="7"/>
  <c r="J198" i="7" s="1"/>
  <c r="H230" i="7"/>
  <c r="N230" i="7" s="1"/>
  <c r="H240" i="7"/>
  <c r="N240" i="7" s="1"/>
  <c r="C241" i="7"/>
  <c r="J241" i="7" s="1"/>
  <c r="H290" i="7"/>
  <c r="N290" i="7" s="1"/>
  <c r="H289" i="7"/>
  <c r="N289" i="7" s="1"/>
  <c r="C290" i="7"/>
  <c r="J290" i="7" s="1"/>
  <c r="H315" i="7"/>
  <c r="N315" i="7" s="1"/>
  <c r="C316" i="7"/>
  <c r="J316" i="7" s="1"/>
  <c r="H260" i="7"/>
  <c r="N260" i="7" s="1"/>
  <c r="C261" i="7"/>
  <c r="J261" i="7" s="1"/>
  <c r="H301" i="7"/>
  <c r="N301" i="7" s="1"/>
  <c r="C301" i="7"/>
  <c r="J301" i="7" s="1"/>
  <c r="H300" i="7"/>
  <c r="N300" i="7" s="1"/>
  <c r="H304" i="7"/>
  <c r="N304" i="7" s="1"/>
  <c r="C304" i="7"/>
  <c r="J304" i="7" s="1"/>
  <c r="C391" i="7"/>
  <c r="J391" i="7" s="1"/>
  <c r="H391" i="7"/>
  <c r="N391" i="7" s="1"/>
  <c r="H322" i="7"/>
  <c r="N322" i="7" s="1"/>
  <c r="C322" i="7"/>
  <c r="J322" i="7" s="1"/>
  <c r="H363" i="7"/>
  <c r="N363" i="7" s="1"/>
  <c r="C364" i="7"/>
  <c r="J364" i="7" s="1"/>
  <c r="C376" i="7"/>
  <c r="J376" i="7" s="1"/>
  <c r="C361" i="7"/>
  <c r="J361" i="7" s="1"/>
  <c r="H361" i="7"/>
  <c r="N361" i="7" s="1"/>
  <c r="H360" i="7"/>
  <c r="N360" i="7" s="1"/>
  <c r="C401" i="7"/>
  <c r="J401" i="7" s="1"/>
  <c r="H401" i="7"/>
  <c r="N401" i="7" s="1"/>
  <c r="H400" i="7"/>
  <c r="N400" i="7" s="1"/>
  <c r="H112" i="7"/>
  <c r="N112" i="7" s="1"/>
  <c r="C263" i="7"/>
  <c r="J263" i="7" s="1"/>
  <c r="H262" i="7"/>
  <c r="N262" i="7" s="1"/>
  <c r="H294" i="7"/>
  <c r="N294" i="7" s="1"/>
  <c r="C294" i="7"/>
  <c r="J294" i="7" s="1"/>
  <c r="H180" i="7"/>
  <c r="N180" i="7" s="1"/>
  <c r="H113" i="7"/>
  <c r="N113" i="7" s="1"/>
  <c r="H140" i="7"/>
  <c r="N140" i="7" s="1"/>
  <c r="H143" i="7"/>
  <c r="N143" i="7" s="1"/>
  <c r="H152" i="7"/>
  <c r="N152" i="7" s="1"/>
  <c r="H161" i="7"/>
  <c r="N161" i="7" s="1"/>
  <c r="C162" i="7"/>
  <c r="J162" i="7" s="1"/>
  <c r="C172" i="7"/>
  <c r="J172" i="7" s="1"/>
  <c r="H171" i="7"/>
  <c r="N171" i="7" s="1"/>
  <c r="C181" i="7"/>
  <c r="J181" i="7" s="1"/>
  <c r="H216" i="7"/>
  <c r="N216" i="7" s="1"/>
  <c r="C239" i="7"/>
  <c r="J239" i="7" s="1"/>
  <c r="H238" i="7"/>
  <c r="N238" i="7" s="1"/>
  <c r="H253" i="7"/>
  <c r="N253" i="7" s="1"/>
  <c r="H261" i="7"/>
  <c r="N261" i="7" s="1"/>
  <c r="H292" i="7"/>
  <c r="N292" i="7" s="1"/>
  <c r="C293" i="7"/>
  <c r="J293" i="7" s="1"/>
  <c r="H349" i="7"/>
  <c r="N349" i="7" s="1"/>
  <c r="C349" i="7"/>
  <c r="J349" i="7" s="1"/>
  <c r="H348" i="7"/>
  <c r="N348" i="7" s="1"/>
  <c r="C375" i="7"/>
  <c r="J375" i="7" s="1"/>
  <c r="H374" i="7"/>
  <c r="N374" i="7" s="1"/>
  <c r="H390" i="7"/>
  <c r="N390" i="7" s="1"/>
  <c r="H210" i="7"/>
  <c r="N210" i="7" s="1"/>
  <c r="H233" i="7"/>
  <c r="N233" i="7" s="1"/>
  <c r="H278" i="7"/>
  <c r="N278" i="7" s="1"/>
  <c r="H280" i="7"/>
  <c r="N280" i="7" s="1"/>
  <c r="C280" i="7"/>
  <c r="J280" i="7" s="1"/>
  <c r="H279" i="7"/>
  <c r="N279" i="7" s="1"/>
  <c r="H326" i="7"/>
  <c r="N326" i="7" s="1"/>
  <c r="C327" i="7"/>
  <c r="J327" i="7" s="1"/>
  <c r="H339" i="7"/>
  <c r="N339" i="7" s="1"/>
  <c r="C339" i="7"/>
  <c r="J339" i="7" s="1"/>
  <c r="H270" i="7"/>
  <c r="N270" i="7" s="1"/>
  <c r="C271" i="7"/>
  <c r="J271" i="7" s="1"/>
  <c r="H316" i="7"/>
  <c r="N316" i="7" s="1"/>
  <c r="H318" i="7"/>
  <c r="N318" i="7" s="1"/>
  <c r="C318" i="7"/>
  <c r="J318" i="7" s="1"/>
  <c r="H383" i="7"/>
  <c r="N383" i="7" s="1"/>
  <c r="C384" i="7"/>
  <c r="J384" i="7" s="1"/>
  <c r="H170" i="7"/>
  <c r="N170" i="7" s="1"/>
  <c r="H193" i="7"/>
  <c r="N193" i="7" s="1"/>
  <c r="H243" i="7"/>
  <c r="N243" i="7" s="1"/>
  <c r="H263" i="7"/>
  <c r="N263" i="7" s="1"/>
  <c r="C385" i="7"/>
  <c r="J385" i="7" s="1"/>
  <c r="H384" i="7"/>
  <c r="N384" i="7" s="1"/>
  <c r="H367" i="7"/>
  <c r="N367" i="7" s="1"/>
  <c r="C367" i="7"/>
  <c r="J367" i="7" s="1"/>
  <c r="H366" i="7"/>
  <c r="N366" i="7" s="1"/>
  <c r="C395" i="7"/>
  <c r="J395" i="7" s="1"/>
  <c r="H394" i="7"/>
  <c r="N394" i="7" s="1"/>
  <c r="C431" i="7"/>
  <c r="J431" i="7" s="1"/>
  <c r="H430" i="7"/>
  <c r="N430" i="7" s="1"/>
  <c r="H431" i="7"/>
  <c r="N431" i="7" s="1"/>
  <c r="H291" i="7"/>
  <c r="N291" i="7" s="1"/>
  <c r="C291" i="7"/>
  <c r="J291" i="7" s="1"/>
  <c r="C417" i="7"/>
  <c r="J417" i="7" s="1"/>
  <c r="H433" i="7"/>
  <c r="N433" i="7" s="1"/>
  <c r="C427" i="7"/>
  <c r="J427" i="7" s="1"/>
  <c r="H427" i="7"/>
  <c r="N427" i="7" s="1"/>
  <c r="C423" i="7"/>
  <c r="J423" i="7" s="1"/>
  <c r="H422" i="7"/>
  <c r="N422" i="7" s="1"/>
  <c r="C383" i="7"/>
  <c r="J383" i="7" s="1"/>
  <c r="H382" i="7"/>
  <c r="N382" i="7" s="1"/>
  <c r="H423" i="7"/>
  <c r="N423" i="7" s="1"/>
  <c r="C437" i="7"/>
  <c r="J437" i="7" s="1"/>
  <c r="C309" i="7"/>
  <c r="J309" i="7" s="1"/>
  <c r="H313" i="7"/>
  <c r="N313" i="7" s="1"/>
  <c r="H327" i="7"/>
  <c r="N327" i="7" s="1"/>
  <c r="H329" i="7"/>
  <c r="N329" i="7" s="1"/>
  <c r="C329" i="7"/>
  <c r="J329" i="7" s="1"/>
  <c r="C331" i="7"/>
  <c r="J331" i="7" s="1"/>
  <c r="C353" i="7"/>
  <c r="J353" i="7" s="1"/>
  <c r="H365" i="7"/>
  <c r="N365" i="7" s="1"/>
  <c r="C381" i="7"/>
  <c r="J381" i="7" s="1"/>
  <c r="H380" i="7"/>
  <c r="N380" i="7" s="1"/>
  <c r="H437" i="7"/>
  <c r="N437" i="7" s="1"/>
  <c r="C319" i="7"/>
  <c r="J319" i="7" s="1"/>
  <c r="H328" i="7"/>
  <c r="N328" i="7" s="1"/>
  <c r="H330" i="7"/>
  <c r="N330" i="7" s="1"/>
  <c r="C366" i="7"/>
  <c r="J366" i="7" s="1"/>
  <c r="H376" i="7"/>
  <c r="N376" i="7" s="1"/>
  <c r="H381" i="7"/>
  <c r="N381" i="7" s="1"/>
  <c r="H386" i="7"/>
  <c r="N386" i="7" s="1"/>
  <c r="H395" i="7"/>
  <c r="N395" i="7" s="1"/>
  <c r="C405" i="7"/>
  <c r="J405" i="7" s="1"/>
  <c r="H404" i="7"/>
  <c r="N404" i="7" s="1"/>
  <c r="C355" i="7"/>
  <c r="J355" i="7" s="1"/>
  <c r="H354" i="7"/>
  <c r="N354" i="7" s="1"/>
  <c r="H355" i="7"/>
  <c r="N355" i="7" s="1"/>
  <c r="H396" i="7"/>
  <c r="N396" i="7" s="1"/>
  <c r="H405" i="7"/>
  <c r="N405" i="7" s="1"/>
  <c r="C415" i="7"/>
  <c r="J415" i="7" s="1"/>
  <c r="H414" i="7"/>
  <c r="N414" i="7" s="1"/>
  <c r="C425" i="7"/>
  <c r="J425" i="7" s="1"/>
  <c r="H424" i="7"/>
  <c r="N424" i="7" s="1"/>
  <c r="H356" i="7"/>
  <c r="N356" i="7" s="1"/>
  <c r="H370" i="7"/>
  <c r="N370" i="7" s="1"/>
  <c r="C397" i="7"/>
  <c r="J397" i="7" s="1"/>
  <c r="C406" i="7"/>
  <c r="J406" i="7" s="1"/>
  <c r="E19" i="8"/>
  <c r="O4" i="7" l="1"/>
  <c r="D5" i="8"/>
  <c r="G5" i="2"/>
  <c r="N2" i="7"/>
  <c r="D18" i="8" l="1"/>
  <c r="F5" i="8"/>
  <c r="E5" i="8"/>
  <c r="O5" i="2"/>
  <c r="N5" i="2"/>
  <c r="F19" i="8"/>
  <c r="O5" i="7"/>
  <c r="D20" i="8" l="1"/>
  <c r="F18" i="8"/>
  <c r="E18" i="8"/>
  <c r="O6" i="7"/>
  <c r="D24" i="8"/>
  <c r="E24" i="8" s="1"/>
  <c r="O7" i="7" l="1"/>
  <c r="E20" i="8"/>
  <c r="F20" i="8"/>
  <c r="O8" i="7" l="1"/>
  <c r="O9" i="7" l="1"/>
  <c r="O10" i="7" l="1"/>
  <c r="O11" i="7" l="1"/>
  <c r="O12" i="7" l="1"/>
  <c r="O13" i="7" l="1"/>
  <c r="O14" i="7" l="1"/>
  <c r="O15" i="7" l="1"/>
  <c r="O16" i="7" l="1"/>
  <c r="O17" i="7" l="1"/>
  <c r="O18" i="7" l="1"/>
  <c r="O19" i="7" l="1"/>
  <c r="O20" i="7" l="1"/>
  <c r="O21" i="7" l="1"/>
  <c r="O22" i="7" l="1"/>
  <c r="O23" i="7" l="1"/>
  <c r="O24" i="7" l="1"/>
  <c r="O25" i="7" l="1"/>
  <c r="O26" i="7" l="1"/>
  <c r="O27" i="7" l="1"/>
  <c r="O28" i="7" l="1"/>
  <c r="O29" i="7" l="1"/>
  <c r="O30" i="7" l="1"/>
  <c r="O31" i="7" l="1"/>
  <c r="O32" i="7" l="1"/>
  <c r="O33" i="7" l="1"/>
  <c r="O34" i="7" l="1"/>
  <c r="O35" i="7" l="1"/>
  <c r="O36" i="7" l="1"/>
  <c r="O37" i="7" l="1"/>
  <c r="O38" i="7" l="1"/>
  <c r="O39" i="7" l="1"/>
  <c r="O40" i="7" l="1"/>
  <c r="O41" i="7" l="1"/>
  <c r="O42" i="7" l="1"/>
  <c r="O43" i="7" l="1"/>
  <c r="O44" i="7" l="1"/>
  <c r="O45" i="7" l="1"/>
  <c r="O46" i="7" l="1"/>
  <c r="O47" i="7" l="1"/>
  <c r="O48" i="7" l="1"/>
  <c r="O49" i="7" l="1"/>
  <c r="O50" i="7" l="1"/>
  <c r="O51" i="7" l="1"/>
  <c r="O52" i="7" l="1"/>
  <c r="O53" i="7" l="1"/>
  <c r="O54" i="7" l="1"/>
  <c r="O55" i="7" l="1"/>
  <c r="O56" i="7" l="1"/>
  <c r="O57" i="7" l="1"/>
  <c r="O58" i="7" l="1"/>
  <c r="O59" i="7" l="1"/>
  <c r="O60" i="7" l="1"/>
  <c r="O61" i="7" l="1"/>
  <c r="O62" i="7" l="1"/>
  <c r="O63" i="7" l="1"/>
  <c r="O64" i="7" l="1"/>
  <c r="O65" i="7" l="1"/>
  <c r="O66" i="7" l="1"/>
  <c r="O67" i="7" l="1"/>
  <c r="O68" i="7" l="1"/>
  <c r="O69" i="7" l="1"/>
  <c r="O70" i="7" l="1"/>
  <c r="O71" i="7" l="1"/>
  <c r="O72" i="7" l="1"/>
  <c r="O73" i="7" l="1"/>
  <c r="O74" i="7" l="1"/>
  <c r="O75" i="7" l="1"/>
  <c r="O76" i="7" l="1"/>
  <c r="O77" i="7" l="1"/>
  <c r="O78" i="7" l="1"/>
  <c r="O79" i="7" l="1"/>
  <c r="O80" i="7" l="1"/>
  <c r="O81" i="7" l="1"/>
  <c r="O82" i="7" l="1"/>
  <c r="O83" i="7" l="1"/>
  <c r="O84" i="7" l="1"/>
  <c r="O85" i="7" l="1"/>
  <c r="O86" i="7" l="1"/>
  <c r="O87" i="7" l="1"/>
  <c r="O88" i="7" l="1"/>
  <c r="O89" i="7" l="1"/>
  <c r="O90" i="7" l="1"/>
  <c r="O91" i="7" l="1"/>
  <c r="O92" i="7" l="1"/>
  <c r="O93" i="7" l="1"/>
  <c r="O94" i="7" l="1"/>
  <c r="O95" i="7" l="1"/>
  <c r="O96" i="7" l="1"/>
  <c r="O97" i="7" l="1"/>
  <c r="O98" i="7" l="1"/>
  <c r="O99" i="7" l="1"/>
  <c r="O100" i="7" l="1"/>
  <c r="O101" i="7" l="1"/>
  <c r="O102" i="7" l="1"/>
  <c r="O103" i="7" l="1"/>
  <c r="O104" i="7" l="1"/>
  <c r="O105" i="7" l="1"/>
  <c r="O106" i="7" l="1"/>
  <c r="O107" i="7" l="1"/>
  <c r="O108" i="7" l="1"/>
  <c r="O109" i="7" l="1"/>
  <c r="O110" i="7" l="1"/>
  <c r="O111" i="7" l="1"/>
  <c r="O112" i="7" l="1"/>
  <c r="O113" i="7" l="1"/>
  <c r="O114" i="7" l="1"/>
  <c r="O115" i="7" l="1"/>
  <c r="O116" i="7" l="1"/>
  <c r="O117" i="7" l="1"/>
  <c r="O118" i="7" l="1"/>
  <c r="O119" i="7" l="1"/>
  <c r="O120" i="7" l="1"/>
  <c r="O121" i="7" l="1"/>
  <c r="O122" i="7" l="1"/>
  <c r="O123" i="7" l="1"/>
  <c r="O124" i="7" l="1"/>
  <c r="O125" i="7" l="1"/>
  <c r="O126" i="7" l="1"/>
  <c r="O127" i="7" l="1"/>
  <c r="O128" i="7" l="1"/>
  <c r="O129" i="7" l="1"/>
  <c r="O130" i="7" l="1"/>
  <c r="O131" i="7" l="1"/>
  <c r="O132" i="7" l="1"/>
  <c r="O133" i="7" l="1"/>
  <c r="O134" i="7" l="1"/>
  <c r="O135" i="7" l="1"/>
  <c r="O136" i="7" l="1"/>
  <c r="O137" i="7" l="1"/>
  <c r="O138" i="7" l="1"/>
  <c r="O139" i="7" l="1"/>
  <c r="O140" i="7" l="1"/>
  <c r="O141" i="7" l="1"/>
  <c r="O142" i="7" l="1"/>
  <c r="O143" i="7" l="1"/>
  <c r="O144" i="7" l="1"/>
  <c r="O145" i="7" l="1"/>
  <c r="O146" i="7" l="1"/>
  <c r="O147" i="7" l="1"/>
  <c r="O148" i="7" l="1"/>
  <c r="O149" i="7" l="1"/>
  <c r="O150" i="7" l="1"/>
  <c r="O151" i="7" l="1"/>
  <c r="O152" i="7" l="1"/>
  <c r="O153" i="7" l="1"/>
  <c r="O154" i="7" l="1"/>
  <c r="O155" i="7" l="1"/>
  <c r="O156" i="7" l="1"/>
  <c r="O157" i="7" l="1"/>
  <c r="O158" i="7" l="1"/>
  <c r="O159" i="7" l="1"/>
  <c r="O160" i="7" l="1"/>
  <c r="O161" i="7" l="1"/>
  <c r="O162" i="7" l="1"/>
  <c r="O163" i="7" l="1"/>
  <c r="O164" i="7" l="1"/>
  <c r="O165" i="7" l="1"/>
  <c r="O166" i="7" l="1"/>
  <c r="O167" i="7" l="1"/>
  <c r="O168" i="7" l="1"/>
  <c r="O169" i="7" l="1"/>
  <c r="O170" i="7" l="1"/>
  <c r="O171" i="7" l="1"/>
  <c r="O172" i="7" l="1"/>
  <c r="O173" i="7" l="1"/>
  <c r="O174" i="7" l="1"/>
  <c r="O175" i="7" l="1"/>
  <c r="O176" i="7" l="1"/>
  <c r="O177" i="7" l="1"/>
  <c r="O178" i="7" l="1"/>
  <c r="O179" i="7" l="1"/>
  <c r="O180" i="7" l="1"/>
  <c r="O181" i="7" l="1"/>
  <c r="O182" i="7" l="1"/>
  <c r="O183" i="7" l="1"/>
  <c r="O184" i="7" l="1"/>
  <c r="O185" i="7" l="1"/>
  <c r="O186" i="7" l="1"/>
  <c r="O187" i="7" l="1"/>
  <c r="O188" i="7" l="1"/>
  <c r="O189" i="7" l="1"/>
  <c r="O190" i="7" l="1"/>
  <c r="O191" i="7" l="1"/>
  <c r="O192" i="7" l="1"/>
  <c r="O193" i="7" l="1"/>
  <c r="O194" i="7" l="1"/>
  <c r="O195" i="7" l="1"/>
  <c r="O196" i="7" l="1"/>
  <c r="O197" i="7" l="1"/>
  <c r="O198" i="7" l="1"/>
  <c r="O199" i="7" l="1"/>
  <c r="O200" i="7" l="1"/>
  <c r="O201" i="7" l="1"/>
  <c r="O202" i="7" l="1"/>
  <c r="O203" i="7" l="1"/>
  <c r="O204" i="7" l="1"/>
  <c r="O205" i="7" l="1"/>
  <c r="O206" i="7" l="1"/>
  <c r="O207" i="7" l="1"/>
  <c r="O208" i="7" l="1"/>
  <c r="O209" i="7" l="1"/>
  <c r="O210" i="7" l="1"/>
  <c r="O211" i="7" l="1"/>
  <c r="O212" i="7" l="1"/>
  <c r="O213" i="7" l="1"/>
  <c r="O214" i="7" l="1"/>
  <c r="O215" i="7" l="1"/>
  <c r="O216" i="7" l="1"/>
  <c r="O217" i="7" l="1"/>
  <c r="O218" i="7" l="1"/>
  <c r="O219" i="7" l="1"/>
  <c r="O220" i="7" l="1"/>
  <c r="O221" i="7" l="1"/>
  <c r="O222" i="7" l="1"/>
  <c r="O223" i="7" l="1"/>
  <c r="O224" i="7" l="1"/>
  <c r="O225" i="7" l="1"/>
  <c r="O226" i="7" l="1"/>
  <c r="O227" i="7" l="1"/>
  <c r="O228" i="7" l="1"/>
  <c r="O229" i="7" l="1"/>
  <c r="O230" i="7" l="1"/>
  <c r="O231" i="7" l="1"/>
  <c r="O232" i="7" l="1"/>
  <c r="O233" i="7" l="1"/>
  <c r="O234" i="7" l="1"/>
  <c r="O235" i="7" l="1"/>
  <c r="O236" i="7" l="1"/>
  <c r="O237" i="7" l="1"/>
  <c r="O238" i="7" l="1"/>
  <c r="O239" i="7" l="1"/>
  <c r="O240" i="7" l="1"/>
  <c r="O241" i="7" l="1"/>
  <c r="O242" i="7" l="1"/>
  <c r="O243" i="7" l="1"/>
  <c r="O244" i="7" l="1"/>
  <c r="O245" i="7" l="1"/>
  <c r="O246" i="7" l="1"/>
  <c r="O247" i="7" l="1"/>
  <c r="O248" i="7" l="1"/>
  <c r="O249" i="7" l="1"/>
  <c r="O250" i="7" l="1"/>
  <c r="O251" i="7" l="1"/>
  <c r="O252" i="7" l="1"/>
  <c r="O253" i="7" l="1"/>
  <c r="O254" i="7" l="1"/>
  <c r="O255" i="7" l="1"/>
  <c r="O256" i="7" l="1"/>
  <c r="O257" i="7" l="1"/>
  <c r="O258" i="7" l="1"/>
  <c r="O259" i="7" l="1"/>
  <c r="O260" i="7" l="1"/>
  <c r="O261" i="7" l="1"/>
  <c r="O262" i="7" l="1"/>
  <c r="O263" i="7" l="1"/>
  <c r="O264" i="7" l="1"/>
  <c r="O265" i="7" l="1"/>
  <c r="O266" i="7" l="1"/>
  <c r="O267" i="7" l="1"/>
  <c r="O268" i="7" l="1"/>
  <c r="O269" i="7" l="1"/>
  <c r="O270" i="7" l="1"/>
  <c r="O271" i="7" l="1"/>
  <c r="O272" i="7" l="1"/>
  <c r="O273" i="7" l="1"/>
  <c r="O274" i="7" l="1"/>
  <c r="O275" i="7" l="1"/>
  <c r="O276" i="7" l="1"/>
  <c r="O277" i="7" l="1"/>
  <c r="O278" i="7" l="1"/>
  <c r="O279" i="7" l="1"/>
  <c r="O280" i="7" l="1"/>
  <c r="O281" i="7" l="1"/>
  <c r="O282" i="7" l="1"/>
  <c r="O283" i="7" l="1"/>
  <c r="O284" i="7" l="1"/>
  <c r="O285" i="7" l="1"/>
  <c r="O286" i="7" l="1"/>
  <c r="O287" i="7" l="1"/>
  <c r="O288" i="7" l="1"/>
  <c r="O289" i="7" l="1"/>
  <c r="O290" i="7" l="1"/>
  <c r="O291" i="7" l="1"/>
  <c r="O292" i="7" l="1"/>
  <c r="O293" i="7" l="1"/>
  <c r="O294" i="7" l="1"/>
  <c r="O295" i="7" l="1"/>
  <c r="O296" i="7" l="1"/>
  <c r="O297" i="7" l="1"/>
  <c r="O298" i="7" l="1"/>
  <c r="O299" i="7" l="1"/>
  <c r="O300" i="7" l="1"/>
  <c r="O301" i="7" l="1"/>
  <c r="O302" i="7" l="1"/>
  <c r="O303" i="7" l="1"/>
  <c r="O304" i="7" l="1"/>
  <c r="O305" i="7" l="1"/>
  <c r="O306" i="7" l="1"/>
  <c r="O307" i="7" l="1"/>
  <c r="O308" i="7" l="1"/>
  <c r="O309" i="7" l="1"/>
  <c r="O310" i="7" l="1"/>
  <c r="O311" i="7" l="1"/>
  <c r="O312" i="7" l="1"/>
  <c r="O313" i="7" l="1"/>
  <c r="O314" i="7" l="1"/>
  <c r="O315" i="7" l="1"/>
  <c r="O316" i="7" l="1"/>
  <c r="O317" i="7" l="1"/>
  <c r="O318" i="7" l="1"/>
  <c r="O319" i="7" l="1"/>
  <c r="O320" i="7" l="1"/>
  <c r="O321" i="7" l="1"/>
  <c r="O322" i="7" l="1"/>
  <c r="O323" i="7" l="1"/>
  <c r="O324" i="7" l="1"/>
  <c r="O325" i="7" l="1"/>
  <c r="O326" i="7" l="1"/>
  <c r="O327" i="7" l="1"/>
  <c r="O328" i="7" l="1"/>
  <c r="O329" i="7" l="1"/>
  <c r="O330" i="7" l="1"/>
  <c r="O331" i="7" l="1"/>
  <c r="O332" i="7" l="1"/>
  <c r="O333" i="7" l="1"/>
  <c r="O334" i="7" l="1"/>
  <c r="O335" i="7" l="1"/>
  <c r="O336" i="7" l="1"/>
  <c r="O337" i="7" l="1"/>
  <c r="O338" i="7" l="1"/>
  <c r="O339" i="7" l="1"/>
  <c r="O340" i="7" l="1"/>
  <c r="O341" i="7" l="1"/>
  <c r="O342" i="7" l="1"/>
  <c r="O343" i="7" l="1"/>
  <c r="O344" i="7" l="1"/>
  <c r="O345" i="7" l="1"/>
  <c r="O346" i="7" l="1"/>
  <c r="O347" i="7" l="1"/>
  <c r="O348" i="7" l="1"/>
  <c r="O349" i="7" l="1"/>
  <c r="O350" i="7" l="1"/>
  <c r="O351" i="7" l="1"/>
  <c r="O352" i="7" l="1"/>
  <c r="O353" i="7" l="1"/>
  <c r="O354" i="7" l="1"/>
  <c r="O355" i="7" l="1"/>
  <c r="O356" i="7" l="1"/>
  <c r="O357" i="7" l="1"/>
  <c r="O358" i="7" l="1"/>
  <c r="O359" i="7" l="1"/>
  <c r="O360" i="7" l="1"/>
  <c r="O361" i="7" l="1"/>
  <c r="O362" i="7" l="1"/>
  <c r="O363" i="7" l="1"/>
  <c r="O364" i="7" l="1"/>
  <c r="O365" i="7" l="1"/>
  <c r="O366" i="7" l="1"/>
  <c r="O367" i="7" l="1"/>
  <c r="O368" i="7" l="1"/>
  <c r="O369" i="7" l="1"/>
  <c r="O370" i="7" l="1"/>
  <c r="O371" i="7" l="1"/>
  <c r="O372" i="7" l="1"/>
  <c r="O373" i="7" l="1"/>
  <c r="O374" i="7" l="1"/>
  <c r="O375" i="7" l="1"/>
  <c r="O376" i="7" l="1"/>
  <c r="O377" i="7" l="1"/>
  <c r="O378" i="7" l="1"/>
  <c r="O379" i="7" l="1"/>
  <c r="O380" i="7" l="1"/>
  <c r="O381" i="7" l="1"/>
  <c r="O382" i="7" l="1"/>
  <c r="O383" i="7" l="1"/>
  <c r="O384" i="7" l="1"/>
  <c r="O385" i="7" l="1"/>
  <c r="O386" i="7" l="1"/>
  <c r="O387" i="7" l="1"/>
  <c r="O388" i="7" l="1"/>
  <c r="O389" i="7" l="1"/>
  <c r="O390" i="7" l="1"/>
  <c r="O391" i="7" l="1"/>
  <c r="O392" i="7" l="1"/>
  <c r="O393" i="7" l="1"/>
  <c r="O394" i="7" l="1"/>
  <c r="O395" i="7" l="1"/>
  <c r="O396" i="7" l="1"/>
  <c r="O397" i="7" l="1"/>
  <c r="O398" i="7" l="1"/>
  <c r="O399" i="7" l="1"/>
  <c r="O400" i="7" l="1"/>
  <c r="O401" i="7" l="1"/>
  <c r="O402" i="7" l="1"/>
  <c r="O403" i="7" l="1"/>
  <c r="O404" i="7" l="1"/>
  <c r="O405" i="7" l="1"/>
  <c r="O406" i="7" l="1"/>
  <c r="O407" i="7" l="1"/>
  <c r="O408" i="7" l="1"/>
  <c r="O409" i="7" l="1"/>
  <c r="O410" i="7" l="1"/>
  <c r="O411" i="7" l="1"/>
  <c r="O412" i="7" l="1"/>
  <c r="O413" i="7" l="1"/>
  <c r="O414" i="7" l="1"/>
  <c r="O415" i="7" l="1"/>
  <c r="O416" i="7" l="1"/>
  <c r="O417" i="7" l="1"/>
  <c r="O418" i="7" l="1"/>
  <c r="O419" i="7" l="1"/>
  <c r="O420" i="7" l="1"/>
  <c r="O421" i="7" l="1"/>
  <c r="O422" i="7" l="1"/>
  <c r="O423" i="7" l="1"/>
  <c r="O424" i="7" l="1"/>
  <c r="O425" i="7" l="1"/>
  <c r="O426" i="7" l="1"/>
  <c r="O427" i="7" l="1"/>
  <c r="O428" i="7" l="1"/>
  <c r="O429" i="7" l="1"/>
  <c r="O430" i="7" l="1"/>
  <c r="O431" i="7" l="1"/>
  <c r="O432" i="7" l="1"/>
  <c r="O433" i="7" l="1"/>
  <c r="O434" i="7" l="1"/>
  <c r="O435" i="7" l="1"/>
  <c r="O436" i="7" l="1"/>
  <c r="O437" i="7" l="1"/>
  <c r="O438" i="7" l="1"/>
  <c r="O439" i="7" l="1"/>
  <c r="P439" i="7" l="1"/>
  <c r="Q439" i="7" s="1"/>
  <c r="S439" i="7" s="1"/>
  <c r="O440" i="7"/>
  <c r="P437" i="7"/>
  <c r="Q437" i="7" s="1"/>
  <c r="S437" i="7" s="1"/>
  <c r="P435" i="7"/>
  <c r="Q435" i="7" s="1"/>
  <c r="S435" i="7" s="1"/>
  <c r="P433" i="7"/>
  <c r="Q433" i="7" s="1"/>
  <c r="S433" i="7" s="1"/>
  <c r="P431" i="7"/>
  <c r="Q431" i="7" s="1"/>
  <c r="S431" i="7" s="1"/>
  <c r="P440" i="7" l="1"/>
  <c r="Q440" i="7" s="1"/>
  <c r="S440" i="7" s="1"/>
  <c r="P2" i="7"/>
  <c r="Q2" i="7" s="1"/>
  <c r="S2" i="7" s="1"/>
  <c r="P3" i="7"/>
  <c r="Q3" i="7" s="1"/>
  <c r="S3" i="7" s="1"/>
  <c r="P4" i="7"/>
  <c r="Q4" i="7" s="1"/>
  <c r="S4" i="7" s="1"/>
  <c r="P5" i="7"/>
  <c r="Q5" i="7" s="1"/>
  <c r="S5" i="7" s="1"/>
  <c r="P6" i="7"/>
  <c r="Q6" i="7" s="1"/>
  <c r="S6" i="7" s="1"/>
  <c r="P8" i="7"/>
  <c r="Q8" i="7" s="1"/>
  <c r="S8" i="7" s="1"/>
  <c r="P7" i="7"/>
  <c r="Q7" i="7" s="1"/>
  <c r="S7" i="7" s="1"/>
  <c r="P9" i="7"/>
  <c r="Q9" i="7" s="1"/>
  <c r="S9" i="7" s="1"/>
  <c r="P10" i="7"/>
  <c r="Q10" i="7" s="1"/>
  <c r="S10" i="7" s="1"/>
  <c r="P11" i="7"/>
  <c r="Q11" i="7" s="1"/>
  <c r="S11" i="7" s="1"/>
  <c r="P12" i="7"/>
  <c r="Q12" i="7" s="1"/>
  <c r="S12" i="7" s="1"/>
  <c r="P13" i="7"/>
  <c r="Q13" i="7" s="1"/>
  <c r="S13" i="7" s="1"/>
  <c r="P14" i="7"/>
  <c r="Q14" i="7" s="1"/>
  <c r="S14" i="7" s="1"/>
  <c r="P15" i="7"/>
  <c r="Q15" i="7" s="1"/>
  <c r="S15" i="7" s="1"/>
  <c r="P16" i="7"/>
  <c r="Q16" i="7" s="1"/>
  <c r="S16" i="7" s="1"/>
  <c r="P17" i="7"/>
  <c r="Q17" i="7" s="1"/>
  <c r="S17" i="7" s="1"/>
  <c r="P18" i="7"/>
  <c r="Q18" i="7" s="1"/>
  <c r="S18" i="7" s="1"/>
  <c r="P19" i="7"/>
  <c r="Q19" i="7" s="1"/>
  <c r="S19" i="7" s="1"/>
  <c r="P20" i="7"/>
  <c r="Q20" i="7" s="1"/>
  <c r="S20" i="7" s="1"/>
  <c r="P21" i="7"/>
  <c r="Q21" i="7" s="1"/>
  <c r="S21" i="7" s="1"/>
  <c r="P22" i="7"/>
  <c r="Q22" i="7" s="1"/>
  <c r="S22" i="7" s="1"/>
  <c r="P23" i="7"/>
  <c r="Q23" i="7" s="1"/>
  <c r="S23" i="7" s="1"/>
  <c r="P24" i="7"/>
  <c r="Q24" i="7" s="1"/>
  <c r="S24" i="7" s="1"/>
  <c r="P25" i="7"/>
  <c r="Q25" i="7" s="1"/>
  <c r="S25" i="7" s="1"/>
  <c r="P26" i="7"/>
  <c r="Q26" i="7" s="1"/>
  <c r="S26" i="7" s="1"/>
  <c r="P27" i="7"/>
  <c r="Q27" i="7" s="1"/>
  <c r="S27" i="7" s="1"/>
  <c r="P28" i="7"/>
  <c r="Q28" i="7" s="1"/>
  <c r="S28" i="7" s="1"/>
  <c r="P29" i="7"/>
  <c r="Q29" i="7" s="1"/>
  <c r="S29" i="7" s="1"/>
  <c r="P30" i="7"/>
  <c r="Q30" i="7" s="1"/>
  <c r="S30" i="7" s="1"/>
  <c r="P31" i="7"/>
  <c r="Q31" i="7" s="1"/>
  <c r="S31" i="7" s="1"/>
  <c r="P32" i="7"/>
  <c r="Q32" i="7" s="1"/>
  <c r="S32" i="7" s="1"/>
  <c r="P33" i="7"/>
  <c r="Q33" i="7" s="1"/>
  <c r="S33" i="7" s="1"/>
  <c r="P34" i="7"/>
  <c r="Q34" i="7" s="1"/>
  <c r="S34" i="7" s="1"/>
  <c r="P35" i="7"/>
  <c r="Q35" i="7" s="1"/>
  <c r="S35" i="7" s="1"/>
  <c r="P36" i="7"/>
  <c r="Q36" i="7" s="1"/>
  <c r="S36" i="7" s="1"/>
  <c r="P37" i="7"/>
  <c r="Q37" i="7" s="1"/>
  <c r="S37" i="7" s="1"/>
  <c r="P38" i="7"/>
  <c r="Q38" i="7" s="1"/>
  <c r="S38" i="7" s="1"/>
  <c r="P39" i="7"/>
  <c r="Q39" i="7" s="1"/>
  <c r="S39" i="7" s="1"/>
  <c r="P40" i="7"/>
  <c r="Q40" i="7" s="1"/>
  <c r="S40" i="7" s="1"/>
  <c r="P41" i="7"/>
  <c r="Q41" i="7" s="1"/>
  <c r="S41" i="7" s="1"/>
  <c r="P42" i="7"/>
  <c r="Q42" i="7" s="1"/>
  <c r="S42" i="7" s="1"/>
  <c r="P43" i="7"/>
  <c r="Q43" i="7" s="1"/>
  <c r="S43" i="7" s="1"/>
  <c r="P44" i="7"/>
  <c r="Q44" i="7" s="1"/>
  <c r="S44" i="7" s="1"/>
  <c r="P46" i="7"/>
  <c r="Q46" i="7" s="1"/>
  <c r="S46" i="7" s="1"/>
  <c r="P45" i="7"/>
  <c r="Q45" i="7" s="1"/>
  <c r="S45" i="7" s="1"/>
  <c r="P47" i="7"/>
  <c r="Q47" i="7" s="1"/>
  <c r="S47" i="7" s="1"/>
  <c r="P48" i="7"/>
  <c r="Q48" i="7" s="1"/>
  <c r="S48" i="7" s="1"/>
  <c r="P49" i="7"/>
  <c r="Q49" i="7" s="1"/>
  <c r="S49" i="7" s="1"/>
  <c r="P50" i="7"/>
  <c r="Q50" i="7" s="1"/>
  <c r="S50" i="7" s="1"/>
  <c r="P51" i="7"/>
  <c r="Q51" i="7" s="1"/>
  <c r="S51" i="7" s="1"/>
  <c r="P52" i="7"/>
  <c r="Q52" i="7" s="1"/>
  <c r="S52" i="7" s="1"/>
  <c r="P53" i="7"/>
  <c r="Q53" i="7" s="1"/>
  <c r="S53" i="7" s="1"/>
  <c r="P54" i="7"/>
  <c r="Q54" i="7" s="1"/>
  <c r="S54" i="7" s="1"/>
  <c r="P55" i="7"/>
  <c r="Q55" i="7" s="1"/>
  <c r="S55" i="7" s="1"/>
  <c r="P56" i="7"/>
  <c r="Q56" i="7" s="1"/>
  <c r="S56" i="7" s="1"/>
  <c r="P57" i="7"/>
  <c r="Q57" i="7" s="1"/>
  <c r="S57" i="7" s="1"/>
  <c r="P58" i="7"/>
  <c r="Q58" i="7" s="1"/>
  <c r="S58" i="7" s="1"/>
  <c r="P59" i="7"/>
  <c r="Q59" i="7" s="1"/>
  <c r="S59" i="7" s="1"/>
  <c r="P60" i="7"/>
  <c r="Q60" i="7" s="1"/>
  <c r="S60" i="7" s="1"/>
  <c r="P61" i="7"/>
  <c r="Q61" i="7" s="1"/>
  <c r="S61" i="7" s="1"/>
  <c r="P62" i="7"/>
  <c r="Q62" i="7" s="1"/>
  <c r="S62" i="7" s="1"/>
  <c r="P63" i="7"/>
  <c r="Q63" i="7" s="1"/>
  <c r="S63" i="7" s="1"/>
  <c r="P64" i="7"/>
  <c r="Q64" i="7" s="1"/>
  <c r="S64" i="7" s="1"/>
  <c r="P66" i="7"/>
  <c r="Q66" i="7" s="1"/>
  <c r="S66" i="7" s="1"/>
  <c r="P65" i="7"/>
  <c r="Q65" i="7" s="1"/>
  <c r="S65" i="7" s="1"/>
  <c r="P67" i="7"/>
  <c r="Q67" i="7" s="1"/>
  <c r="S67" i="7" s="1"/>
  <c r="P68" i="7"/>
  <c r="Q68" i="7" s="1"/>
  <c r="S68" i="7" s="1"/>
  <c r="P69" i="7"/>
  <c r="Q69" i="7" s="1"/>
  <c r="S69" i="7" s="1"/>
  <c r="P70" i="7"/>
  <c r="Q70" i="7" s="1"/>
  <c r="S70" i="7" s="1"/>
  <c r="P71" i="7"/>
  <c r="Q71" i="7" s="1"/>
  <c r="S71" i="7" s="1"/>
  <c r="P73" i="7"/>
  <c r="Q73" i="7" s="1"/>
  <c r="S73" i="7" s="1"/>
  <c r="P72" i="7"/>
  <c r="Q72" i="7" s="1"/>
  <c r="S72" i="7" s="1"/>
  <c r="P74" i="7"/>
  <c r="Q74" i="7" s="1"/>
  <c r="S74" i="7" s="1"/>
  <c r="P75" i="7"/>
  <c r="Q75" i="7" s="1"/>
  <c r="S75" i="7" s="1"/>
  <c r="P76" i="7"/>
  <c r="Q76" i="7" s="1"/>
  <c r="S76" i="7" s="1"/>
  <c r="P77" i="7"/>
  <c r="Q77" i="7" s="1"/>
  <c r="S77" i="7" s="1"/>
  <c r="P78" i="7"/>
  <c r="Q78" i="7" s="1"/>
  <c r="S78" i="7" s="1"/>
  <c r="P79" i="7"/>
  <c r="Q79" i="7" s="1"/>
  <c r="S79" i="7" s="1"/>
  <c r="P80" i="7"/>
  <c r="Q80" i="7" s="1"/>
  <c r="S80" i="7" s="1"/>
  <c r="P81" i="7"/>
  <c r="Q81" i="7" s="1"/>
  <c r="S81" i="7" s="1"/>
  <c r="P82" i="7"/>
  <c r="Q82" i="7" s="1"/>
  <c r="S82" i="7" s="1"/>
  <c r="P83" i="7"/>
  <c r="Q83" i="7" s="1"/>
  <c r="S83" i="7" s="1"/>
  <c r="P85" i="7"/>
  <c r="Q85" i="7" s="1"/>
  <c r="S85" i="7" s="1"/>
  <c r="P84" i="7"/>
  <c r="Q84" i="7" s="1"/>
  <c r="S84" i="7" s="1"/>
  <c r="P86" i="7"/>
  <c r="Q86" i="7" s="1"/>
  <c r="S86" i="7" s="1"/>
  <c r="P88" i="7"/>
  <c r="Q88" i="7" s="1"/>
  <c r="S88" i="7" s="1"/>
  <c r="P87" i="7"/>
  <c r="Q87" i="7" s="1"/>
  <c r="S87" i="7" s="1"/>
  <c r="P89" i="7"/>
  <c r="Q89" i="7" s="1"/>
  <c r="S89" i="7" s="1"/>
  <c r="P91" i="7"/>
  <c r="Q91" i="7" s="1"/>
  <c r="S91" i="7" s="1"/>
  <c r="P90" i="7"/>
  <c r="Q90" i="7" s="1"/>
  <c r="S90" i="7" s="1"/>
  <c r="P92" i="7"/>
  <c r="Q92" i="7" s="1"/>
  <c r="S92" i="7" s="1"/>
  <c r="P93" i="7"/>
  <c r="Q93" i="7" s="1"/>
  <c r="S93" i="7" s="1"/>
  <c r="P94" i="7"/>
  <c r="Q94" i="7" s="1"/>
  <c r="S94" i="7" s="1"/>
  <c r="P95" i="7"/>
  <c r="Q95" i="7" s="1"/>
  <c r="S95" i="7" s="1"/>
  <c r="P96" i="7"/>
  <c r="Q96" i="7" s="1"/>
  <c r="S96" i="7" s="1"/>
  <c r="P97" i="7"/>
  <c r="Q97" i="7" s="1"/>
  <c r="S97" i="7" s="1"/>
  <c r="P99" i="7"/>
  <c r="Q99" i="7" s="1"/>
  <c r="S99" i="7" s="1"/>
  <c r="P98" i="7"/>
  <c r="Q98" i="7" s="1"/>
  <c r="S98" i="7" s="1"/>
  <c r="P100" i="7"/>
  <c r="Q100" i="7" s="1"/>
  <c r="S100" i="7" s="1"/>
  <c r="P101" i="7"/>
  <c r="Q101" i="7" s="1"/>
  <c r="S101" i="7" s="1"/>
  <c r="P102" i="7"/>
  <c r="Q102" i="7" s="1"/>
  <c r="S102" i="7" s="1"/>
  <c r="P103" i="7"/>
  <c r="Q103" i="7" s="1"/>
  <c r="S103" i="7" s="1"/>
  <c r="P104" i="7"/>
  <c r="Q104" i="7" s="1"/>
  <c r="S104" i="7" s="1"/>
  <c r="P106" i="7"/>
  <c r="Q106" i="7" s="1"/>
  <c r="S106" i="7" s="1"/>
  <c r="P105" i="7"/>
  <c r="Q105" i="7" s="1"/>
  <c r="S105" i="7" s="1"/>
  <c r="P107" i="7"/>
  <c r="Q107" i="7" s="1"/>
  <c r="S107" i="7" s="1"/>
  <c r="P108" i="7"/>
  <c r="Q108" i="7" s="1"/>
  <c r="S108" i="7" s="1"/>
  <c r="P109" i="7"/>
  <c r="Q109" i="7" s="1"/>
  <c r="S109" i="7" s="1"/>
  <c r="P110" i="7"/>
  <c r="Q110" i="7" s="1"/>
  <c r="S110" i="7" s="1"/>
  <c r="P111" i="7"/>
  <c r="Q111" i="7" s="1"/>
  <c r="S111" i="7" s="1"/>
  <c r="P112" i="7"/>
  <c r="Q112" i="7" s="1"/>
  <c r="S112" i="7" s="1"/>
  <c r="P113" i="7"/>
  <c r="Q113" i="7" s="1"/>
  <c r="S113" i="7" s="1"/>
  <c r="P114" i="7"/>
  <c r="Q114" i="7" s="1"/>
  <c r="S114" i="7" s="1"/>
  <c r="P115" i="7"/>
  <c r="Q115" i="7" s="1"/>
  <c r="S115" i="7" s="1"/>
  <c r="P116" i="7"/>
  <c r="Q116" i="7" s="1"/>
  <c r="S116" i="7" s="1"/>
  <c r="P117" i="7"/>
  <c r="Q117" i="7" s="1"/>
  <c r="S117" i="7" s="1"/>
  <c r="P118" i="7"/>
  <c r="Q118" i="7" s="1"/>
  <c r="S118" i="7" s="1"/>
  <c r="P119" i="7"/>
  <c r="Q119" i="7" s="1"/>
  <c r="S119" i="7" s="1"/>
  <c r="P121" i="7"/>
  <c r="Q121" i="7" s="1"/>
  <c r="S121" i="7" s="1"/>
  <c r="P120" i="7"/>
  <c r="Q120" i="7" s="1"/>
  <c r="S120" i="7" s="1"/>
  <c r="P122" i="7"/>
  <c r="Q122" i="7" s="1"/>
  <c r="S122" i="7" s="1"/>
  <c r="P123" i="7"/>
  <c r="Q123" i="7" s="1"/>
  <c r="S123" i="7" s="1"/>
  <c r="P124" i="7"/>
  <c r="Q124" i="7" s="1"/>
  <c r="S124" i="7" s="1"/>
  <c r="P125" i="7"/>
  <c r="Q125" i="7" s="1"/>
  <c r="S125" i="7" s="1"/>
  <c r="P126" i="7"/>
  <c r="Q126" i="7" s="1"/>
  <c r="S126" i="7" s="1"/>
  <c r="P127" i="7"/>
  <c r="Q127" i="7" s="1"/>
  <c r="S127" i="7" s="1"/>
  <c r="P128" i="7"/>
  <c r="Q128" i="7" s="1"/>
  <c r="S128" i="7" s="1"/>
  <c r="P129" i="7"/>
  <c r="Q129" i="7" s="1"/>
  <c r="S129" i="7" s="1"/>
  <c r="P131" i="7"/>
  <c r="Q131" i="7" s="1"/>
  <c r="S131" i="7" s="1"/>
  <c r="P130" i="7"/>
  <c r="Q130" i="7" s="1"/>
  <c r="S130" i="7" s="1"/>
  <c r="P132" i="7"/>
  <c r="Q132" i="7" s="1"/>
  <c r="S132" i="7" s="1"/>
  <c r="P133" i="7"/>
  <c r="Q133" i="7" s="1"/>
  <c r="S133" i="7" s="1"/>
  <c r="P134" i="7"/>
  <c r="Q134" i="7" s="1"/>
  <c r="S134" i="7" s="1"/>
  <c r="P135" i="7"/>
  <c r="Q135" i="7" s="1"/>
  <c r="S135" i="7" s="1"/>
  <c r="P136" i="7"/>
  <c r="Q136" i="7" s="1"/>
  <c r="S136" i="7" s="1"/>
  <c r="P137" i="7"/>
  <c r="Q137" i="7" s="1"/>
  <c r="S137" i="7" s="1"/>
  <c r="P138" i="7"/>
  <c r="Q138" i="7" s="1"/>
  <c r="S138" i="7" s="1"/>
  <c r="P139" i="7"/>
  <c r="Q139" i="7" s="1"/>
  <c r="S139" i="7" s="1"/>
  <c r="P140" i="7"/>
  <c r="Q140" i="7" s="1"/>
  <c r="S140" i="7" s="1"/>
  <c r="P141" i="7"/>
  <c r="Q141" i="7" s="1"/>
  <c r="S141" i="7" s="1"/>
  <c r="P142" i="7"/>
  <c r="Q142" i="7" s="1"/>
  <c r="S142" i="7" s="1"/>
  <c r="P143" i="7"/>
  <c r="Q143" i="7" s="1"/>
  <c r="S143" i="7" s="1"/>
  <c r="P144" i="7"/>
  <c r="Q144" i="7" s="1"/>
  <c r="S144" i="7" s="1"/>
  <c r="P145" i="7"/>
  <c r="Q145" i="7" s="1"/>
  <c r="S145" i="7" s="1"/>
  <c r="P146" i="7"/>
  <c r="Q146" i="7" s="1"/>
  <c r="S146" i="7" s="1"/>
  <c r="P147" i="7"/>
  <c r="Q147" i="7" s="1"/>
  <c r="S147" i="7" s="1"/>
  <c r="P148" i="7"/>
  <c r="Q148" i="7" s="1"/>
  <c r="S148" i="7" s="1"/>
  <c r="P149" i="7"/>
  <c r="Q149" i="7" s="1"/>
  <c r="S149" i="7" s="1"/>
  <c r="P150" i="7"/>
  <c r="Q150" i="7" s="1"/>
  <c r="S150" i="7" s="1"/>
  <c r="P151" i="7"/>
  <c r="Q151" i="7" s="1"/>
  <c r="S151" i="7" s="1"/>
  <c r="P152" i="7"/>
  <c r="Q152" i="7" s="1"/>
  <c r="S152" i="7" s="1"/>
  <c r="P153" i="7"/>
  <c r="Q153" i="7" s="1"/>
  <c r="S153" i="7" s="1"/>
  <c r="P154" i="7"/>
  <c r="Q154" i="7" s="1"/>
  <c r="S154" i="7" s="1"/>
  <c r="P155" i="7"/>
  <c r="Q155" i="7" s="1"/>
  <c r="S155" i="7" s="1"/>
  <c r="P156" i="7"/>
  <c r="Q156" i="7" s="1"/>
  <c r="S156" i="7" s="1"/>
  <c r="P157" i="7"/>
  <c r="Q157" i="7" s="1"/>
  <c r="S157" i="7" s="1"/>
  <c r="P158" i="7"/>
  <c r="Q158" i="7" s="1"/>
  <c r="S158" i="7" s="1"/>
  <c r="P159" i="7"/>
  <c r="Q159" i="7" s="1"/>
  <c r="S159" i="7" s="1"/>
  <c r="P160" i="7"/>
  <c r="Q160" i="7" s="1"/>
  <c r="S160" i="7" s="1"/>
  <c r="P161" i="7"/>
  <c r="Q161" i="7" s="1"/>
  <c r="S161" i="7" s="1"/>
  <c r="P162" i="7"/>
  <c r="Q162" i="7" s="1"/>
  <c r="S162" i="7" s="1"/>
  <c r="P163" i="7"/>
  <c r="Q163" i="7" s="1"/>
  <c r="S163" i="7" s="1"/>
  <c r="P164" i="7"/>
  <c r="Q164" i="7" s="1"/>
  <c r="S164" i="7" s="1"/>
  <c r="P165" i="7"/>
  <c r="Q165" i="7" s="1"/>
  <c r="S165" i="7" s="1"/>
  <c r="P166" i="7"/>
  <c r="Q166" i="7" s="1"/>
  <c r="S166" i="7" s="1"/>
  <c r="P167" i="7"/>
  <c r="Q167" i="7" s="1"/>
  <c r="S167" i="7" s="1"/>
  <c r="P168" i="7"/>
  <c r="Q168" i="7" s="1"/>
  <c r="S168" i="7" s="1"/>
  <c r="P169" i="7"/>
  <c r="Q169" i="7" s="1"/>
  <c r="S169" i="7" s="1"/>
  <c r="P170" i="7"/>
  <c r="Q170" i="7" s="1"/>
  <c r="S170" i="7" s="1"/>
  <c r="P171" i="7"/>
  <c r="Q171" i="7" s="1"/>
  <c r="S171" i="7" s="1"/>
  <c r="P172" i="7"/>
  <c r="Q172" i="7" s="1"/>
  <c r="S172" i="7" s="1"/>
  <c r="P173" i="7"/>
  <c r="Q173" i="7" s="1"/>
  <c r="S173" i="7" s="1"/>
  <c r="P174" i="7"/>
  <c r="Q174" i="7" s="1"/>
  <c r="S174" i="7" s="1"/>
  <c r="P175" i="7"/>
  <c r="Q175" i="7" s="1"/>
  <c r="S175" i="7" s="1"/>
  <c r="P176" i="7"/>
  <c r="Q176" i="7" s="1"/>
  <c r="S176" i="7" s="1"/>
  <c r="P177" i="7"/>
  <c r="Q177" i="7" s="1"/>
  <c r="S177" i="7" s="1"/>
  <c r="P178" i="7"/>
  <c r="Q178" i="7" s="1"/>
  <c r="S178" i="7" s="1"/>
  <c r="P180" i="7"/>
  <c r="Q180" i="7" s="1"/>
  <c r="S180" i="7" s="1"/>
  <c r="P179" i="7"/>
  <c r="Q179" i="7" s="1"/>
  <c r="S179" i="7" s="1"/>
  <c r="P182" i="7"/>
  <c r="Q182" i="7" s="1"/>
  <c r="S182" i="7" s="1"/>
  <c r="P181" i="7"/>
  <c r="Q181" i="7" s="1"/>
  <c r="S181" i="7" s="1"/>
  <c r="P183" i="7"/>
  <c r="Q183" i="7" s="1"/>
  <c r="S183" i="7" s="1"/>
  <c r="P184" i="7"/>
  <c r="Q184" i="7" s="1"/>
  <c r="S184" i="7" s="1"/>
  <c r="P185" i="7"/>
  <c r="Q185" i="7" s="1"/>
  <c r="S185" i="7" s="1"/>
  <c r="P186" i="7"/>
  <c r="Q186" i="7" s="1"/>
  <c r="S186" i="7" s="1"/>
  <c r="P187" i="7"/>
  <c r="Q187" i="7" s="1"/>
  <c r="S187" i="7" s="1"/>
  <c r="P188" i="7"/>
  <c r="Q188" i="7" s="1"/>
  <c r="S188" i="7" s="1"/>
  <c r="P189" i="7"/>
  <c r="Q189" i="7" s="1"/>
  <c r="S189" i="7" s="1"/>
  <c r="P190" i="7"/>
  <c r="Q190" i="7" s="1"/>
  <c r="S190" i="7" s="1"/>
  <c r="P191" i="7"/>
  <c r="Q191" i="7" s="1"/>
  <c r="S191" i="7" s="1"/>
  <c r="P192" i="7"/>
  <c r="Q192" i="7" s="1"/>
  <c r="S192" i="7" s="1"/>
  <c r="P193" i="7"/>
  <c r="Q193" i="7" s="1"/>
  <c r="S193" i="7" s="1"/>
  <c r="P194" i="7"/>
  <c r="Q194" i="7" s="1"/>
  <c r="S194" i="7" s="1"/>
  <c r="P195" i="7"/>
  <c r="Q195" i="7" s="1"/>
  <c r="S195" i="7" s="1"/>
  <c r="P196" i="7"/>
  <c r="Q196" i="7" s="1"/>
  <c r="S196" i="7" s="1"/>
  <c r="P197" i="7"/>
  <c r="Q197" i="7" s="1"/>
  <c r="S197" i="7" s="1"/>
  <c r="P198" i="7"/>
  <c r="Q198" i="7" s="1"/>
  <c r="S198" i="7" s="1"/>
  <c r="P199" i="7"/>
  <c r="Q199" i="7" s="1"/>
  <c r="S199" i="7" s="1"/>
  <c r="P200" i="7"/>
  <c r="Q200" i="7" s="1"/>
  <c r="S200" i="7" s="1"/>
  <c r="P201" i="7"/>
  <c r="Q201" i="7" s="1"/>
  <c r="S201" i="7" s="1"/>
  <c r="P202" i="7"/>
  <c r="Q202" i="7" s="1"/>
  <c r="S202" i="7" s="1"/>
  <c r="P203" i="7"/>
  <c r="Q203" i="7" s="1"/>
  <c r="S203" i="7" s="1"/>
  <c r="P204" i="7"/>
  <c r="Q204" i="7" s="1"/>
  <c r="S204" i="7" s="1"/>
  <c r="P205" i="7"/>
  <c r="Q205" i="7" s="1"/>
  <c r="S205" i="7" s="1"/>
  <c r="P206" i="7"/>
  <c r="Q206" i="7" s="1"/>
  <c r="S206" i="7" s="1"/>
  <c r="P207" i="7"/>
  <c r="Q207" i="7" s="1"/>
  <c r="S207" i="7" s="1"/>
  <c r="P208" i="7"/>
  <c r="Q208" i="7" s="1"/>
  <c r="S208" i="7" s="1"/>
  <c r="P209" i="7"/>
  <c r="Q209" i="7" s="1"/>
  <c r="S209" i="7" s="1"/>
  <c r="P210" i="7"/>
  <c r="Q210" i="7" s="1"/>
  <c r="S210" i="7" s="1"/>
  <c r="P211" i="7"/>
  <c r="Q211" i="7" s="1"/>
  <c r="S211" i="7" s="1"/>
  <c r="P212" i="7"/>
  <c r="Q212" i="7" s="1"/>
  <c r="S212" i="7" s="1"/>
  <c r="P213" i="7"/>
  <c r="Q213" i="7" s="1"/>
  <c r="S213" i="7" s="1"/>
  <c r="P214" i="7"/>
  <c r="Q214" i="7" s="1"/>
  <c r="S214" i="7" s="1"/>
  <c r="P215" i="7"/>
  <c r="Q215" i="7" s="1"/>
  <c r="S215" i="7" s="1"/>
  <c r="P216" i="7"/>
  <c r="Q216" i="7" s="1"/>
  <c r="S216" i="7" s="1"/>
  <c r="P217" i="7"/>
  <c r="Q217" i="7" s="1"/>
  <c r="S217" i="7" s="1"/>
  <c r="P218" i="7"/>
  <c r="Q218" i="7" s="1"/>
  <c r="S218" i="7" s="1"/>
  <c r="P219" i="7"/>
  <c r="Q219" i="7" s="1"/>
  <c r="S219" i="7" s="1"/>
  <c r="P220" i="7"/>
  <c r="Q220" i="7" s="1"/>
  <c r="S220" i="7" s="1"/>
  <c r="P221" i="7"/>
  <c r="Q221" i="7" s="1"/>
  <c r="S221" i="7" s="1"/>
  <c r="P222" i="7"/>
  <c r="Q222" i="7" s="1"/>
  <c r="S222" i="7" s="1"/>
  <c r="P223" i="7"/>
  <c r="Q223" i="7" s="1"/>
  <c r="S223" i="7" s="1"/>
  <c r="P224" i="7"/>
  <c r="Q224" i="7" s="1"/>
  <c r="S224" i="7" s="1"/>
  <c r="P225" i="7"/>
  <c r="Q225" i="7" s="1"/>
  <c r="S225" i="7" s="1"/>
  <c r="P226" i="7"/>
  <c r="Q226" i="7" s="1"/>
  <c r="S226" i="7" s="1"/>
  <c r="P227" i="7"/>
  <c r="Q227" i="7" s="1"/>
  <c r="S227" i="7" s="1"/>
  <c r="P228" i="7"/>
  <c r="Q228" i="7" s="1"/>
  <c r="S228" i="7" s="1"/>
  <c r="P229" i="7"/>
  <c r="Q229" i="7" s="1"/>
  <c r="S229" i="7" s="1"/>
  <c r="P230" i="7"/>
  <c r="Q230" i="7" s="1"/>
  <c r="S230" i="7" s="1"/>
  <c r="P231" i="7"/>
  <c r="Q231" i="7" s="1"/>
  <c r="S231" i="7" s="1"/>
  <c r="P232" i="7"/>
  <c r="Q232" i="7" s="1"/>
  <c r="S232" i="7" s="1"/>
  <c r="P233" i="7"/>
  <c r="Q233" i="7" s="1"/>
  <c r="S233" i="7" s="1"/>
  <c r="P234" i="7"/>
  <c r="Q234" i="7" s="1"/>
  <c r="S234" i="7" s="1"/>
  <c r="P235" i="7"/>
  <c r="Q235" i="7" s="1"/>
  <c r="S235" i="7" s="1"/>
  <c r="P236" i="7"/>
  <c r="Q236" i="7" s="1"/>
  <c r="S236" i="7" s="1"/>
  <c r="P237" i="7"/>
  <c r="Q237" i="7" s="1"/>
  <c r="S237" i="7" s="1"/>
  <c r="P238" i="7"/>
  <c r="Q238" i="7" s="1"/>
  <c r="S238" i="7" s="1"/>
  <c r="P239" i="7"/>
  <c r="Q239" i="7" s="1"/>
  <c r="S239" i="7" s="1"/>
  <c r="P240" i="7"/>
  <c r="Q240" i="7" s="1"/>
  <c r="S240" i="7" s="1"/>
  <c r="P241" i="7"/>
  <c r="Q241" i="7" s="1"/>
  <c r="S241" i="7" s="1"/>
  <c r="P242" i="7"/>
  <c r="Q242" i="7" s="1"/>
  <c r="S242" i="7" s="1"/>
  <c r="P243" i="7"/>
  <c r="Q243" i="7" s="1"/>
  <c r="S243" i="7" s="1"/>
  <c r="P244" i="7"/>
  <c r="Q244" i="7" s="1"/>
  <c r="S244" i="7" s="1"/>
  <c r="P245" i="7"/>
  <c r="Q245" i="7" s="1"/>
  <c r="S245" i="7" s="1"/>
  <c r="P246" i="7"/>
  <c r="Q246" i="7" s="1"/>
  <c r="S246" i="7" s="1"/>
  <c r="P247" i="7"/>
  <c r="Q247" i="7" s="1"/>
  <c r="S247" i="7" s="1"/>
  <c r="P248" i="7"/>
  <c r="Q248" i="7" s="1"/>
  <c r="S248" i="7" s="1"/>
  <c r="P249" i="7"/>
  <c r="Q249" i="7" s="1"/>
  <c r="S249" i="7" s="1"/>
  <c r="P250" i="7"/>
  <c r="Q250" i="7" s="1"/>
  <c r="S250" i="7" s="1"/>
  <c r="P251" i="7"/>
  <c r="Q251" i="7" s="1"/>
  <c r="S251" i="7" s="1"/>
  <c r="P252" i="7"/>
  <c r="Q252" i="7" s="1"/>
  <c r="S252" i="7" s="1"/>
  <c r="P253" i="7"/>
  <c r="Q253" i="7" s="1"/>
  <c r="S253" i="7" s="1"/>
  <c r="P254" i="7"/>
  <c r="Q254" i="7" s="1"/>
  <c r="S254" i="7" s="1"/>
  <c r="P255" i="7"/>
  <c r="Q255" i="7" s="1"/>
  <c r="S255" i="7" s="1"/>
  <c r="P256" i="7"/>
  <c r="Q256" i="7" s="1"/>
  <c r="S256" i="7" s="1"/>
  <c r="P257" i="7"/>
  <c r="Q257" i="7" s="1"/>
  <c r="S257" i="7" s="1"/>
  <c r="P258" i="7"/>
  <c r="Q258" i="7" s="1"/>
  <c r="S258" i="7" s="1"/>
  <c r="P259" i="7"/>
  <c r="Q259" i="7" s="1"/>
  <c r="S259" i="7" s="1"/>
  <c r="P260" i="7"/>
  <c r="Q260" i="7" s="1"/>
  <c r="S260" i="7" s="1"/>
  <c r="P261" i="7"/>
  <c r="Q261" i="7" s="1"/>
  <c r="S261" i="7" s="1"/>
  <c r="P262" i="7"/>
  <c r="Q262" i="7" s="1"/>
  <c r="S262" i="7" s="1"/>
  <c r="P263" i="7"/>
  <c r="Q263" i="7" s="1"/>
  <c r="S263" i="7" s="1"/>
  <c r="P264" i="7"/>
  <c r="Q264" i="7" s="1"/>
  <c r="S264" i="7" s="1"/>
  <c r="P265" i="7"/>
  <c r="Q265" i="7" s="1"/>
  <c r="S265" i="7" s="1"/>
  <c r="P266" i="7"/>
  <c r="Q266" i="7" s="1"/>
  <c r="S266" i="7" s="1"/>
  <c r="P267" i="7"/>
  <c r="Q267" i="7" s="1"/>
  <c r="S267" i="7" s="1"/>
  <c r="P268" i="7"/>
  <c r="Q268" i="7" s="1"/>
  <c r="S268" i="7" s="1"/>
  <c r="P269" i="7"/>
  <c r="Q269" i="7" s="1"/>
  <c r="S269" i="7" s="1"/>
  <c r="P270" i="7"/>
  <c r="Q270" i="7" s="1"/>
  <c r="S270" i="7" s="1"/>
  <c r="P271" i="7"/>
  <c r="Q271" i="7" s="1"/>
  <c r="S271" i="7" s="1"/>
  <c r="P272" i="7"/>
  <c r="Q272" i="7" s="1"/>
  <c r="S272" i="7" s="1"/>
  <c r="P273" i="7"/>
  <c r="Q273" i="7" s="1"/>
  <c r="S273" i="7" s="1"/>
  <c r="P274" i="7"/>
  <c r="Q274" i="7" s="1"/>
  <c r="S274" i="7" s="1"/>
  <c r="P275" i="7"/>
  <c r="Q275" i="7" s="1"/>
  <c r="S275" i="7" s="1"/>
  <c r="P276" i="7"/>
  <c r="Q276" i="7" s="1"/>
  <c r="S276" i="7" s="1"/>
  <c r="P277" i="7"/>
  <c r="Q277" i="7" s="1"/>
  <c r="S277" i="7" s="1"/>
  <c r="P278" i="7"/>
  <c r="Q278" i="7" s="1"/>
  <c r="S278" i="7" s="1"/>
  <c r="P279" i="7"/>
  <c r="Q279" i="7" s="1"/>
  <c r="S279" i="7" s="1"/>
  <c r="P280" i="7"/>
  <c r="Q280" i="7" s="1"/>
  <c r="S280" i="7" s="1"/>
  <c r="P281" i="7"/>
  <c r="Q281" i="7" s="1"/>
  <c r="S281" i="7" s="1"/>
  <c r="P282" i="7"/>
  <c r="Q282" i="7" s="1"/>
  <c r="S282" i="7" s="1"/>
  <c r="P283" i="7"/>
  <c r="Q283" i="7" s="1"/>
  <c r="S283" i="7" s="1"/>
  <c r="P284" i="7"/>
  <c r="Q284" i="7" s="1"/>
  <c r="S284" i="7" s="1"/>
  <c r="P285" i="7"/>
  <c r="Q285" i="7" s="1"/>
  <c r="S285" i="7" s="1"/>
  <c r="P286" i="7"/>
  <c r="Q286" i="7" s="1"/>
  <c r="S286" i="7" s="1"/>
  <c r="P287" i="7"/>
  <c r="Q287" i="7" s="1"/>
  <c r="S287" i="7" s="1"/>
  <c r="P288" i="7"/>
  <c r="Q288" i="7" s="1"/>
  <c r="S288" i="7" s="1"/>
  <c r="P289" i="7"/>
  <c r="Q289" i="7" s="1"/>
  <c r="S289" i="7" s="1"/>
  <c r="P290" i="7"/>
  <c r="Q290" i="7" s="1"/>
  <c r="S290" i="7" s="1"/>
  <c r="P291" i="7"/>
  <c r="Q291" i="7" s="1"/>
  <c r="S291" i="7" s="1"/>
  <c r="P292" i="7"/>
  <c r="Q292" i="7" s="1"/>
  <c r="S292" i="7" s="1"/>
  <c r="P293" i="7"/>
  <c r="Q293" i="7" s="1"/>
  <c r="S293" i="7" s="1"/>
  <c r="P294" i="7"/>
  <c r="Q294" i="7" s="1"/>
  <c r="S294" i="7" s="1"/>
  <c r="P295" i="7"/>
  <c r="Q295" i="7" s="1"/>
  <c r="S295" i="7" s="1"/>
  <c r="P296" i="7"/>
  <c r="Q296" i="7" s="1"/>
  <c r="S296" i="7" s="1"/>
  <c r="P297" i="7"/>
  <c r="Q297" i="7" s="1"/>
  <c r="S297" i="7" s="1"/>
  <c r="P298" i="7"/>
  <c r="Q298" i="7" s="1"/>
  <c r="S298" i="7" s="1"/>
  <c r="P299" i="7"/>
  <c r="Q299" i="7" s="1"/>
  <c r="S299" i="7" s="1"/>
  <c r="P300" i="7"/>
  <c r="Q300" i="7" s="1"/>
  <c r="S300" i="7" s="1"/>
  <c r="P301" i="7"/>
  <c r="Q301" i="7" s="1"/>
  <c r="S301" i="7" s="1"/>
  <c r="P302" i="7"/>
  <c r="Q302" i="7" s="1"/>
  <c r="S302" i="7" s="1"/>
  <c r="P303" i="7"/>
  <c r="Q303" i="7" s="1"/>
  <c r="S303" i="7" s="1"/>
  <c r="P304" i="7"/>
  <c r="Q304" i="7" s="1"/>
  <c r="S304" i="7" s="1"/>
  <c r="P305" i="7"/>
  <c r="Q305" i="7" s="1"/>
  <c r="S305" i="7" s="1"/>
  <c r="P306" i="7"/>
  <c r="Q306" i="7" s="1"/>
  <c r="S306" i="7" s="1"/>
  <c r="P307" i="7"/>
  <c r="Q307" i="7" s="1"/>
  <c r="S307" i="7" s="1"/>
  <c r="P308" i="7"/>
  <c r="Q308" i="7" s="1"/>
  <c r="S308" i="7" s="1"/>
  <c r="P309" i="7"/>
  <c r="Q309" i="7" s="1"/>
  <c r="S309" i="7" s="1"/>
  <c r="P310" i="7"/>
  <c r="Q310" i="7" s="1"/>
  <c r="S310" i="7" s="1"/>
  <c r="P311" i="7"/>
  <c r="Q311" i="7" s="1"/>
  <c r="S311" i="7" s="1"/>
  <c r="P312" i="7"/>
  <c r="Q312" i="7" s="1"/>
  <c r="S312" i="7" s="1"/>
  <c r="P313" i="7"/>
  <c r="Q313" i="7" s="1"/>
  <c r="S313" i="7" s="1"/>
  <c r="P314" i="7"/>
  <c r="Q314" i="7" s="1"/>
  <c r="S314" i="7" s="1"/>
  <c r="P315" i="7"/>
  <c r="Q315" i="7" s="1"/>
  <c r="S315" i="7" s="1"/>
  <c r="P316" i="7"/>
  <c r="Q316" i="7" s="1"/>
  <c r="S316" i="7" s="1"/>
  <c r="P317" i="7"/>
  <c r="Q317" i="7" s="1"/>
  <c r="S317" i="7" s="1"/>
  <c r="P318" i="7"/>
  <c r="Q318" i="7" s="1"/>
  <c r="S318" i="7" s="1"/>
  <c r="P319" i="7"/>
  <c r="Q319" i="7" s="1"/>
  <c r="S319" i="7" s="1"/>
  <c r="P320" i="7"/>
  <c r="Q320" i="7" s="1"/>
  <c r="S320" i="7" s="1"/>
  <c r="P321" i="7"/>
  <c r="Q321" i="7" s="1"/>
  <c r="S321" i="7" s="1"/>
  <c r="P322" i="7"/>
  <c r="Q322" i="7" s="1"/>
  <c r="S322" i="7" s="1"/>
  <c r="P323" i="7"/>
  <c r="Q323" i="7" s="1"/>
  <c r="S323" i="7" s="1"/>
  <c r="P324" i="7"/>
  <c r="Q324" i="7" s="1"/>
  <c r="S324" i="7" s="1"/>
  <c r="P325" i="7"/>
  <c r="Q325" i="7" s="1"/>
  <c r="S325" i="7" s="1"/>
  <c r="P326" i="7"/>
  <c r="Q326" i="7" s="1"/>
  <c r="S326" i="7" s="1"/>
  <c r="P327" i="7"/>
  <c r="Q327" i="7" s="1"/>
  <c r="S327" i="7" s="1"/>
  <c r="P328" i="7"/>
  <c r="Q328" i="7" s="1"/>
  <c r="S328" i="7" s="1"/>
  <c r="P329" i="7"/>
  <c r="Q329" i="7" s="1"/>
  <c r="S329" i="7" s="1"/>
  <c r="P330" i="7"/>
  <c r="Q330" i="7" s="1"/>
  <c r="S330" i="7" s="1"/>
  <c r="P331" i="7"/>
  <c r="Q331" i="7" s="1"/>
  <c r="S331" i="7" s="1"/>
  <c r="P332" i="7"/>
  <c r="Q332" i="7" s="1"/>
  <c r="S332" i="7" s="1"/>
  <c r="P333" i="7"/>
  <c r="Q333" i="7" s="1"/>
  <c r="S333" i="7" s="1"/>
  <c r="P334" i="7"/>
  <c r="Q334" i="7" s="1"/>
  <c r="S334" i="7" s="1"/>
  <c r="P335" i="7"/>
  <c r="Q335" i="7" s="1"/>
  <c r="S335" i="7" s="1"/>
  <c r="P336" i="7"/>
  <c r="Q336" i="7" s="1"/>
  <c r="S336" i="7" s="1"/>
  <c r="P337" i="7"/>
  <c r="Q337" i="7" s="1"/>
  <c r="S337" i="7" s="1"/>
  <c r="P338" i="7"/>
  <c r="Q338" i="7" s="1"/>
  <c r="S338" i="7" s="1"/>
  <c r="P339" i="7"/>
  <c r="Q339" i="7" s="1"/>
  <c r="S339" i="7" s="1"/>
  <c r="P340" i="7"/>
  <c r="Q340" i="7" s="1"/>
  <c r="S340" i="7" s="1"/>
  <c r="P341" i="7"/>
  <c r="Q341" i="7" s="1"/>
  <c r="S341" i="7" s="1"/>
  <c r="P342" i="7"/>
  <c r="Q342" i="7" s="1"/>
  <c r="S342" i="7" s="1"/>
  <c r="P343" i="7"/>
  <c r="Q343" i="7" s="1"/>
  <c r="S343" i="7" s="1"/>
  <c r="P344" i="7"/>
  <c r="Q344" i="7" s="1"/>
  <c r="S344" i="7" s="1"/>
  <c r="P345" i="7"/>
  <c r="Q345" i="7" s="1"/>
  <c r="S345" i="7" s="1"/>
  <c r="P346" i="7"/>
  <c r="Q346" i="7" s="1"/>
  <c r="S346" i="7" s="1"/>
  <c r="P347" i="7"/>
  <c r="Q347" i="7" s="1"/>
  <c r="S347" i="7" s="1"/>
  <c r="P348" i="7"/>
  <c r="Q348" i="7" s="1"/>
  <c r="S348" i="7" s="1"/>
  <c r="P349" i="7"/>
  <c r="Q349" i="7" s="1"/>
  <c r="S349" i="7" s="1"/>
  <c r="P350" i="7"/>
  <c r="Q350" i="7" s="1"/>
  <c r="S350" i="7" s="1"/>
  <c r="P351" i="7"/>
  <c r="Q351" i="7" s="1"/>
  <c r="S351" i="7" s="1"/>
  <c r="P352" i="7"/>
  <c r="Q352" i="7" s="1"/>
  <c r="S352" i="7" s="1"/>
  <c r="P353" i="7"/>
  <c r="Q353" i="7" s="1"/>
  <c r="S353" i="7" s="1"/>
  <c r="P354" i="7"/>
  <c r="Q354" i="7" s="1"/>
  <c r="S354" i="7" s="1"/>
  <c r="P355" i="7"/>
  <c r="Q355" i="7" s="1"/>
  <c r="S355" i="7" s="1"/>
  <c r="P356" i="7"/>
  <c r="Q356" i="7" s="1"/>
  <c r="S356" i="7" s="1"/>
  <c r="P357" i="7"/>
  <c r="Q357" i="7" s="1"/>
  <c r="S357" i="7" s="1"/>
  <c r="P358" i="7"/>
  <c r="Q358" i="7" s="1"/>
  <c r="S358" i="7" s="1"/>
  <c r="P359" i="7"/>
  <c r="Q359" i="7" s="1"/>
  <c r="S359" i="7" s="1"/>
  <c r="P360" i="7"/>
  <c r="Q360" i="7" s="1"/>
  <c r="S360" i="7" s="1"/>
  <c r="P361" i="7"/>
  <c r="Q361" i="7" s="1"/>
  <c r="S361" i="7" s="1"/>
  <c r="P362" i="7"/>
  <c r="Q362" i="7" s="1"/>
  <c r="S362" i="7" s="1"/>
  <c r="P363" i="7"/>
  <c r="Q363" i="7" s="1"/>
  <c r="S363" i="7" s="1"/>
  <c r="P364" i="7"/>
  <c r="Q364" i="7" s="1"/>
  <c r="S364" i="7" s="1"/>
  <c r="P365" i="7"/>
  <c r="Q365" i="7" s="1"/>
  <c r="S365" i="7" s="1"/>
  <c r="P366" i="7"/>
  <c r="Q366" i="7" s="1"/>
  <c r="S366" i="7" s="1"/>
  <c r="P367" i="7"/>
  <c r="Q367" i="7" s="1"/>
  <c r="S367" i="7" s="1"/>
  <c r="P368" i="7"/>
  <c r="Q368" i="7" s="1"/>
  <c r="S368" i="7" s="1"/>
  <c r="P369" i="7"/>
  <c r="Q369" i="7" s="1"/>
  <c r="S369" i="7" s="1"/>
  <c r="P370" i="7"/>
  <c r="Q370" i="7" s="1"/>
  <c r="S370" i="7" s="1"/>
  <c r="P371" i="7"/>
  <c r="Q371" i="7" s="1"/>
  <c r="S371" i="7" s="1"/>
  <c r="P372" i="7"/>
  <c r="Q372" i="7" s="1"/>
  <c r="S372" i="7" s="1"/>
  <c r="P373" i="7"/>
  <c r="Q373" i="7" s="1"/>
  <c r="S373" i="7" s="1"/>
  <c r="P374" i="7"/>
  <c r="Q374" i="7" s="1"/>
  <c r="S374" i="7" s="1"/>
  <c r="P375" i="7"/>
  <c r="Q375" i="7" s="1"/>
  <c r="S375" i="7" s="1"/>
  <c r="P376" i="7"/>
  <c r="Q376" i="7" s="1"/>
  <c r="S376" i="7" s="1"/>
  <c r="P377" i="7"/>
  <c r="Q377" i="7" s="1"/>
  <c r="S377" i="7" s="1"/>
  <c r="P378" i="7"/>
  <c r="Q378" i="7" s="1"/>
  <c r="S378" i="7" s="1"/>
  <c r="P379" i="7"/>
  <c r="Q379" i="7" s="1"/>
  <c r="S379" i="7" s="1"/>
  <c r="P380" i="7"/>
  <c r="Q380" i="7" s="1"/>
  <c r="S380" i="7" s="1"/>
  <c r="P381" i="7"/>
  <c r="Q381" i="7" s="1"/>
  <c r="S381" i="7" s="1"/>
  <c r="P382" i="7"/>
  <c r="Q382" i="7" s="1"/>
  <c r="S382" i="7" s="1"/>
  <c r="P383" i="7"/>
  <c r="Q383" i="7" s="1"/>
  <c r="S383" i="7" s="1"/>
  <c r="P384" i="7"/>
  <c r="Q384" i="7" s="1"/>
  <c r="S384" i="7" s="1"/>
  <c r="P385" i="7"/>
  <c r="Q385" i="7" s="1"/>
  <c r="S385" i="7" s="1"/>
  <c r="P386" i="7"/>
  <c r="Q386" i="7" s="1"/>
  <c r="S386" i="7" s="1"/>
  <c r="P387" i="7"/>
  <c r="Q387" i="7" s="1"/>
  <c r="S387" i="7" s="1"/>
  <c r="P388" i="7"/>
  <c r="Q388" i="7" s="1"/>
  <c r="S388" i="7" s="1"/>
  <c r="P389" i="7"/>
  <c r="Q389" i="7" s="1"/>
  <c r="S389" i="7" s="1"/>
  <c r="P390" i="7"/>
  <c r="Q390" i="7" s="1"/>
  <c r="S390" i="7" s="1"/>
  <c r="P391" i="7"/>
  <c r="Q391" i="7" s="1"/>
  <c r="S391" i="7" s="1"/>
  <c r="P392" i="7"/>
  <c r="Q392" i="7" s="1"/>
  <c r="S392" i="7" s="1"/>
  <c r="P393" i="7"/>
  <c r="Q393" i="7" s="1"/>
  <c r="S393" i="7" s="1"/>
  <c r="P394" i="7"/>
  <c r="Q394" i="7" s="1"/>
  <c r="S394" i="7" s="1"/>
  <c r="P395" i="7"/>
  <c r="Q395" i="7" s="1"/>
  <c r="S395" i="7" s="1"/>
  <c r="P396" i="7"/>
  <c r="Q396" i="7" s="1"/>
  <c r="S396" i="7" s="1"/>
  <c r="P397" i="7"/>
  <c r="Q397" i="7" s="1"/>
  <c r="S397" i="7" s="1"/>
  <c r="P398" i="7"/>
  <c r="Q398" i="7" s="1"/>
  <c r="S398" i="7" s="1"/>
  <c r="P399" i="7"/>
  <c r="Q399" i="7" s="1"/>
  <c r="S399" i="7" s="1"/>
  <c r="P400" i="7"/>
  <c r="Q400" i="7" s="1"/>
  <c r="S400" i="7" s="1"/>
  <c r="P401" i="7"/>
  <c r="Q401" i="7" s="1"/>
  <c r="S401" i="7" s="1"/>
  <c r="P402" i="7"/>
  <c r="Q402" i="7" s="1"/>
  <c r="S402" i="7" s="1"/>
  <c r="P403" i="7"/>
  <c r="Q403" i="7" s="1"/>
  <c r="S403" i="7" s="1"/>
  <c r="P404" i="7"/>
  <c r="Q404" i="7" s="1"/>
  <c r="S404" i="7" s="1"/>
  <c r="P405" i="7"/>
  <c r="Q405" i="7" s="1"/>
  <c r="S405" i="7" s="1"/>
  <c r="P406" i="7"/>
  <c r="Q406" i="7" s="1"/>
  <c r="S406" i="7" s="1"/>
  <c r="P407" i="7"/>
  <c r="Q407" i="7" s="1"/>
  <c r="S407" i="7" s="1"/>
  <c r="P408" i="7"/>
  <c r="Q408" i="7" s="1"/>
  <c r="S408" i="7" s="1"/>
  <c r="P409" i="7"/>
  <c r="Q409" i="7" s="1"/>
  <c r="S409" i="7" s="1"/>
  <c r="P410" i="7"/>
  <c r="Q410" i="7" s="1"/>
  <c r="S410" i="7" s="1"/>
  <c r="P411" i="7"/>
  <c r="Q411" i="7" s="1"/>
  <c r="S411" i="7" s="1"/>
  <c r="P412" i="7"/>
  <c r="Q412" i="7" s="1"/>
  <c r="S412" i="7" s="1"/>
  <c r="P413" i="7"/>
  <c r="Q413" i="7" s="1"/>
  <c r="S413" i="7" s="1"/>
  <c r="P414" i="7"/>
  <c r="Q414" i="7" s="1"/>
  <c r="S414" i="7" s="1"/>
  <c r="P415" i="7"/>
  <c r="Q415" i="7" s="1"/>
  <c r="S415" i="7" s="1"/>
  <c r="P416" i="7"/>
  <c r="Q416" i="7" s="1"/>
  <c r="S416" i="7" s="1"/>
  <c r="P417" i="7"/>
  <c r="Q417" i="7" s="1"/>
  <c r="S417" i="7" s="1"/>
  <c r="P418" i="7"/>
  <c r="Q418" i="7" s="1"/>
  <c r="S418" i="7" s="1"/>
  <c r="P419" i="7"/>
  <c r="Q419" i="7" s="1"/>
  <c r="S419" i="7" s="1"/>
  <c r="P420" i="7"/>
  <c r="Q420" i="7" s="1"/>
  <c r="S420" i="7" s="1"/>
  <c r="P421" i="7"/>
  <c r="Q421" i="7" s="1"/>
  <c r="S421" i="7" s="1"/>
  <c r="P422" i="7"/>
  <c r="Q422" i="7" s="1"/>
  <c r="S422" i="7" s="1"/>
  <c r="P423" i="7"/>
  <c r="Q423" i="7" s="1"/>
  <c r="S423" i="7" s="1"/>
  <c r="P424" i="7"/>
  <c r="Q424" i="7" s="1"/>
  <c r="S424" i="7" s="1"/>
  <c r="P425" i="7"/>
  <c r="Q425" i="7" s="1"/>
  <c r="S425" i="7" s="1"/>
  <c r="P426" i="7"/>
  <c r="Q426" i="7" s="1"/>
  <c r="S426" i="7" s="1"/>
  <c r="P427" i="7"/>
  <c r="Q427" i="7" s="1"/>
  <c r="S427" i="7" s="1"/>
  <c r="P428" i="7"/>
  <c r="Q428" i="7" s="1"/>
  <c r="S428" i="7" s="1"/>
  <c r="P429" i="7"/>
  <c r="Q429" i="7" s="1"/>
  <c r="S429" i="7" s="1"/>
  <c r="P438" i="7"/>
  <c r="Q438" i="7" s="1"/>
  <c r="S438" i="7" s="1"/>
  <c r="P436" i="7"/>
  <c r="Q436" i="7" s="1"/>
  <c r="S436" i="7" s="1"/>
  <c r="P434" i="7"/>
  <c r="Q434" i="7" s="1"/>
  <c r="S434" i="7" s="1"/>
  <c r="P430" i="7"/>
  <c r="Q430" i="7" s="1"/>
  <c r="S430" i="7" s="1"/>
  <c r="P432" i="7"/>
  <c r="Q432" i="7" s="1"/>
  <c r="S432" i="7" s="1"/>
  <c r="D30" i="8" l="1"/>
  <c r="D8" i="8"/>
  <c r="D14" i="8"/>
  <c r="D12" i="8"/>
  <c r="G12" i="2"/>
  <c r="G8" i="2"/>
  <c r="G6" i="2"/>
  <c r="G14" i="2"/>
  <c r="D6" i="8"/>
  <c r="D10" i="8"/>
  <c r="G10" i="2"/>
  <c r="F10" i="8" l="1"/>
  <c r="E10" i="8"/>
  <c r="O10" i="2"/>
  <c r="N10" i="2"/>
  <c r="F12" i="8"/>
  <c r="E12" i="8"/>
  <c r="N12" i="2"/>
  <c r="O12" i="2"/>
  <c r="F14" i="8"/>
  <c r="E14" i="8"/>
  <c r="N14" i="2"/>
  <c r="O14" i="2"/>
  <c r="F6" i="8"/>
  <c r="E6" i="8"/>
  <c r="O6" i="2"/>
  <c r="N6" i="2"/>
  <c r="D7" i="8"/>
  <c r="G7" i="2"/>
  <c r="E8" i="8"/>
  <c r="F8" i="8"/>
  <c r="N8" i="2"/>
  <c r="O8" i="2"/>
  <c r="C6" i="3"/>
  <c r="D6" i="3"/>
  <c r="F7" i="8" l="1"/>
  <c r="E7" i="8"/>
  <c r="D9" i="8"/>
  <c r="G9" i="2"/>
  <c r="O7" i="2"/>
  <c r="N7" i="2"/>
  <c r="D11" i="8" l="1"/>
  <c r="F9" i="8"/>
  <c r="E9" i="8"/>
  <c r="C5" i="3"/>
  <c r="D8" i="3"/>
  <c r="G11" i="2"/>
  <c r="D5" i="3"/>
  <c r="N9" i="2"/>
  <c r="C8" i="3"/>
  <c r="O9" i="2"/>
  <c r="F11" i="8" l="1"/>
  <c r="E11" i="8"/>
  <c r="D13" i="8"/>
  <c r="D9" i="3"/>
  <c r="D10" i="3"/>
  <c r="N11" i="2"/>
  <c r="C10" i="3"/>
  <c r="O11" i="2"/>
  <c r="C9" i="3"/>
  <c r="D7" i="3"/>
  <c r="G13" i="2"/>
  <c r="C7" i="3"/>
  <c r="D15" i="8" l="1"/>
  <c r="D25" i="8"/>
  <c r="E25" i="8" s="1"/>
  <c r="F13" i="8"/>
  <c r="E13" i="8"/>
  <c r="G15" i="2"/>
  <c r="D12" i="3"/>
  <c r="C11" i="3"/>
  <c r="O13" i="2"/>
  <c r="C12" i="3"/>
  <c r="D11" i="3"/>
  <c r="N13" i="2"/>
  <c r="F15" i="8" l="1"/>
  <c r="E15" i="8"/>
  <c r="O15" i="2"/>
  <c r="N15" i="2"/>
  <c r="D13" i="3"/>
  <c r="C13" i="3"/>
  <c r="D23" i="8"/>
  <c r="E23" i="8" s="1"/>
</calcChain>
</file>

<file path=xl/sharedStrings.xml><?xml version="1.0" encoding="utf-8"?>
<sst xmlns="http://schemas.openxmlformats.org/spreadsheetml/2006/main" count="1103" uniqueCount="925">
  <si>
    <t>GMG Time Utilisation Model: layer documentation for the nUWAy fleet dashboard</t>
  </si>
  <si>
    <t>Purpose</t>
  </si>
  <si>
    <t>Documents each classification layer of the GMG Time Utilisation Model (2020 guideline) against the telemetry we actually hold, so /api/metrics can be built layer by layer with no ambiguity about what is measured, what is assumed and what is missing.</t>
  </si>
  <si>
    <t>Sources</t>
  </si>
  <si>
    <t>docs/GMG Time Utilisation Model.md and docs/GMG-time-utilisation-model.pdf (layer and KPI definitions); docs/data-schema.md (positions table); docs/api.md; config/app.yaml and config/vehicles.yaml; data/sample/*.csv and GPS_Report/data/*.csv.</t>
  </si>
  <si>
    <t>Sheets</t>
  </si>
  <si>
    <t>Layers: one row per layer with definition, equation, Excel formula, feasibility, dependencies and implementation method. KPIs: the GMG ratios with live values. Fields: which columns exist in which file. Future inputs: what to ask the client for. Parameters: every threshold, as named cells. Classification: the real 5-second track classified row by row with live formulas. Summary: bucket totals and reconciliation.</t>
  </si>
  <si>
    <t>How to use</t>
  </si>
  <si>
    <t>Open Parameters and set the roster, depot and dwell values. Everything else recalculates. To classify a different export, paste its timestamp/lat/lon/speed/gps_status columns into Classification A, D, E, F, G and fill the formula columns down.</t>
  </si>
  <si>
    <t>Feasibility legend</t>
  </si>
  <si>
    <t>Yes = computable from the positions table alone. Yes (config) = computable once a configuration value the client can state today is added. Partial (heuristic) = computable from position and speed with stated assumptions; will be refined by future inputs. Derived (inherits) = an identity of other layers, no worse than its inputs. No (external data) = needs a data source we do not have.</t>
  </si>
  <si>
    <t>Interval convention</t>
  </si>
  <si>
    <t>Each sample owns the interval from its timestamp to the next sample's timestamp (dt_s). The interval is classified from the sample at its start. The last sample owns nothing. Reporting-window time with no samples is 'unobserved' and is split by the roster (UT outside, SB inside).</t>
  </si>
  <si>
    <t>Note on the source documents</t>
  </si>
  <si>
    <t>In docs/GMG-time-utilisation-model.pdf (and the version of the markdown committed in de73cfd) the headings from Operating Time down are shifted one step against their bodies: the text under 'Operating Time' describes Standby, and so on. The markdown working copy was corrected on 2026-09-08. This workbook uses the standard GMG pairing, which matches the equations in the bodies (OT = AT - SB, WT = OT - OD, PT = WT - NP).</t>
  </si>
  <si>
    <t>Layer tree</t>
  </si>
  <si>
    <t>Calendar Time (CT)</t>
  </si>
  <si>
    <t>Yes</t>
  </si>
  <si>
    <t xml:space="preserve">    Unscheduled Time (UT)</t>
  </si>
  <si>
    <t>Yes (config)</t>
  </si>
  <si>
    <t xml:space="preserve">    Scheduled Time (ST) = CT - UT</t>
  </si>
  <si>
    <t>Derived (inherits)</t>
  </si>
  <si>
    <t xml:space="preserve">        Downtime (DT)</t>
  </si>
  <si>
    <t>No (external data)</t>
  </si>
  <si>
    <t xml:space="preserve">        Available Time (AT) = ST - DT</t>
  </si>
  <si>
    <t xml:space="preserve">            Standby (SB) = SBO + SBE</t>
  </si>
  <si>
    <t>Partial (heuristic)</t>
  </si>
  <si>
    <t xml:space="preserve">            Operating Time (OT) = AT - SB</t>
  </si>
  <si>
    <t xml:space="preserve">                Operating Delay (OD)</t>
  </si>
  <si>
    <t xml:space="preserve">                Working Time (WT) = OT - OD</t>
  </si>
  <si>
    <t xml:space="preserve">                    Non-Productive Time (NP)</t>
  </si>
  <si>
    <t xml:space="preserve">                    Productive Time (PT) = WT - NP</t>
  </si>
  <si>
    <t>GMG Time Utilisation Model: layer by layer</t>
  </si>
  <si>
    <t>One row per classification layer, top of the tree first. 'Excel formula' is the exact formula used on the Summary sheet; 'Sample value' is live from that sheet. Feasibility refers to the datasets in data/sample and GPS_Report/data plus what config/ already holds.</t>
  </si>
  <si>
    <t>Layer</t>
  </si>
  <si>
    <t>Code</t>
  </si>
  <si>
    <t>Parent</t>
  </si>
  <si>
    <t>GMG definition</t>
  </si>
  <si>
    <t>nUWAy examples</t>
  </si>
  <si>
    <t>Equation</t>
  </si>
  <si>
    <t>Excel formula (Summary sheet)</t>
  </si>
  <si>
    <t>Feasible with current data?</t>
  </si>
  <si>
    <t>Dataset fields needed</t>
  </si>
  <si>
    <t>Depends on layers</t>
  </si>
  <si>
    <t>External input needed</t>
  </si>
  <si>
    <t>How to implement from the dataset</t>
  </si>
  <si>
    <t>Assumptions and caveats</t>
  </si>
  <si>
    <t>Sample value (s)</t>
  </si>
  <si>
    <t>Sample value (h)</t>
  </si>
  <si>
    <t>Calendar Time</t>
  </si>
  <si>
    <t>CT</t>
  </si>
  <si>
    <t>(root)</t>
  </si>
  <si>
    <t>All the time there is in the reporting window. 8,760 h per year (8,784 in a leap year, treated as negligible). Also called nominal time. Every other layer partitions it.</t>
  </si>
  <si>
    <t>A Perth day selected on the dashboard calendar = 24 h. A week = 168 h. Per vehicle, so a two-shuttle fleet has 48 h of CT per day.</t>
  </si>
  <si>
    <t>CT = window end - window start</t>
  </si>
  <si>
    <t>timestamp (only to bound the data when no explicit window is given)</t>
  </si>
  <si>
    <t>none</t>
  </si>
  <si>
    <t>none. The reporting window comes from the query (from/to on GET /api/positions), not from the data.</t>
  </si>
  <si>
    <t>1. Take the window from the request, expanded to whole Perth days exactly as docs/data-schema.md section 4 describes (a bare date d =&gt; d-1T16:00:00Z .. dT15:59:59.999999Z).
2. CT_s = (to - from) in seconds. Do NOT use last sample - first sample: a day with three hours of telemetry still has 24 h of CT, and the other 21 h have to land in UT / SB / DT.
3. Clip every classified interval to the window so an interval that straddles midnight is only counted on one day.
In the workbook the WINDOW_* parameters are blank so CT falls back to the span of the sample.</t>
  </si>
  <si>
    <t>Leap seconds and DST are irrelevant (Perth has no DST; timestamps are UTC). Sub-second precision must be preserved: truncating to seconds collides rows (data-schema.md).</t>
  </si>
  <si>
    <t>Unscheduled Time</t>
  </si>
  <si>
    <t>UT</t>
  </si>
  <si>
    <t>Time the asset is not assigned at all because nothing requires it: planned shutdowns, holidays not worked, no work available, mobilisation/demobilisation, major rebuilds. The machine's condition is irrelevant.</t>
  </si>
  <si>
    <t>Nights, weekends, semester breaks, public holidays, days the shuttle is not rostered, a week the shuttle is loaned to another campus.</t>
  </si>
  <si>
    <t>UT = CT - ST  (measured directly as time outside the roster)</t>
  </si>
  <si>
    <t>timestamp (converted to Perth local time)</t>
  </si>
  <si>
    <t>Service roster: daily start/end per weekday plus an exceptions list (public holidays, non-service dates). Not in any dataset. Proposed home: config/app.yaml service_hours block, mirroring how vehicles.yaml already holds identity.</t>
  </si>
  <si>
    <t>1. Convert each timestamp to Perth (UTC+8), see Classification!C.
2. in_service = weekday &lt;= SERVICE_LAST_WEEKDAY AND SERVICE_START &lt;= time-of-day &lt; SERVICE_END (Classification!J). Extend with a holiday table when the client supplies one.
3. Any interval whose start is outside the roster is UT regardless of what the vehicle was doing.
4. Time inside the window but with no telemetry at all (before first / after last sample, or a gap) must also be split by the roster: outside roster =&gt; UT. The backend should walk the roster minute by minute; the workbook approximates by testing WINDOW_START only (Summary!UNOBS_UT).
Heuristic fallback when no roster exists: a calendar day with zero telemetry for the vehicle is UT. This cannot tell a day off from a day in the workshop, so label it as such.</t>
  </si>
  <si>
    <t>Without the roster every 24 h day looks scheduled and Effective Utilisation collapses to a few percent. The sample (Thursday 16:21 to 16:58 Perth) sits inside the placeholder 08:00 to 18:00 window so UT = 0 in the example.</t>
  </si>
  <si>
    <t>Scheduled Time</t>
  </si>
  <si>
    <t>ST</t>
  </si>
  <si>
    <t>Time the asset is required to meet the business plan and is assigned to an operation, project or job.</t>
  </si>
  <si>
    <t>Rostered service hours, e.g. 08:00 to 18:00 on weekdays during semester.</t>
  </si>
  <si>
    <t>ST = CT - UT</t>
  </si>
  <si>
    <t>none directly</t>
  </si>
  <si>
    <t>CT, UT</t>
  </si>
  <si>
    <t>Inherits the roster requirement from UT.</t>
  </si>
  <si>
    <t>Identity. No classification of its own; every scheduled second is then split into DT, SB, OD, NP or PT by the layers below.</t>
  </si>
  <si>
    <t>Only as good as UT. If UT is approximated ST is approximated.</t>
  </si>
  <si>
    <t>Downtime</t>
  </si>
  <si>
    <t>DT</t>
  </si>
  <si>
    <t>The operation wants the asset but it is not in a condition to perform its function. Kept as one undivided bucket in the 2020 guideline (no consensus on planned vs unplanned maintenance split; that belongs in a CMMS).</t>
  </si>
  <si>
    <t>Shuttle in the workshop during service hours, LiDAR fault, flat traction battery, software update that takes the vehicle out of service, waiting for a technician.</t>
  </si>
  <si>
    <t>DT = ST - AT  (measured from a maintenance / fault log)</t>
  </si>
  <si>
    <t>none in the positions table can establish condition. battery_percent (empty in the real data) could flag 'flat' if it were populated.</t>
  </si>
  <si>
    <t>Maintenance / fault log with (vehicle_id, start, end, cause). Could be a CMMS export, a manual sheet, or derived from the still-unspecified events feed if disengagements carry a 'fault' cause and a matching re-engage.</t>
  </si>
  <si>
    <t>1. Join the log to the window: for each log entry overlapping [from, to], mark every sample interval inside [start, end] as DT (Classification!R override column).
2. DT_s = SUMIFS over state = DT.
3. Unobserved time inside the roster is SB by default; a log entry converts it to DT.
Until a log exists, report DT = 0 and label Available Time and every availability KPI as 'assumes zero downtime'. Do not infer DT from telemetry gaps: a silent shuttle is more often parked than broken, and GMG says condition, not signal, defines this bucket.</t>
  </si>
  <si>
    <t>With DT forced to 0, Mechanical Availability is 100% by construction and Uptime equals Physical Availability. These should be hidden or flagged on the dashboard until a log exists.</t>
  </si>
  <si>
    <t>Available Time</t>
  </si>
  <si>
    <t>AT</t>
  </si>
  <si>
    <t>Required AND fit for duty. About condition, not use: an idle but serviceable machine is still available.</t>
  </si>
  <si>
    <t>Every rostered second the shuttle is not in the workshop, whether or not it is moving.</t>
  </si>
  <si>
    <t>AT = ST - DT</t>
  </si>
  <si>
    <t>ST, DT</t>
  </si>
  <si>
    <t>Inherits the maintenance log requirement from DT.</t>
  </si>
  <si>
    <t>Identity. Computable today only under the explicit assumption DT = 0, in which case AT = ST.</t>
  </si>
  <si>
    <t>Report as 'AT (assuming no downtime)' until DT is real.</t>
  </si>
  <si>
    <t>Standby</t>
  </si>
  <si>
    <t>SB</t>
  </si>
  <si>
    <t>Available but not operating. SB = SBO + SBE. Operating standby (SBO): no immediate intent to run for reasons within management control (no operator, shift change, crib breaks, meetings, training, no assignment). External standby (SBE): required and committed but blocked from outside (client suspends work, area closed, site-wide weather or power loss, workforce shortage). For a contractor SBE is the billable 'off hours' state.</t>
  </si>
  <si>
    <t>Parked at the depot mid-roster: safety operator at lunch, waiting for the afternoon run, charging between runs. SBE: campus closed for a storm, route closed for an event.</t>
  </si>
  <si>
    <t>SB = AT - OT  (measured as stationary inside the depot geofence for &gt;= dwell)</t>
  </si>
  <si>
    <t>timestamp, latitude, longitude, speed_mps; gps_status to trust the position (positions_2.csv and sample-track.csv have no gps_status)</t>
  </si>
  <si>
    <t>AT (and UT, to restrict to the roster)</t>
  </si>
  <si>
    <t>Depot geofence (DEPOT_LAT/LON/RADIUS_M) and a dwell threshold (STANDBY_DWELL_S), both config. Splitting SBO from SBE needs reason codes (operator roster, closure notices), which no dataset has.</t>
  </si>
  <si>
    <t>1. stationary = speed_mps &lt; SPEED_STOP_MPS (Classification!K). Use the reported speed rather than differencing positions: GPS jitter at rest produces phantom movement of ~1 m per sample.
2. in_depot = haversine(lat, lon, DEPOT) &lt;= DEPOT_RADIUS_M (Classification!I, L).
3. Group consecutive samples with the same (stationary, in_depot) into runs (Classification!O) and compute each run's total duration (Classification!P) so the test applies to the whole run, including its first samples.
4. A run that is stationary AND in_depot AND lasts &gt;= STANDBY_DWELL_S is SB for its whole length. Shorter depot stops are WT (boarding / about to depart).
5. A telemetry gap (&gt; MAX_GAP_S) whose last sample was in the depot is SB: the shuttle was switched off at base. Unobserved roster time with no samples at all is SB for the same reason.
6. Populated battery_percent rising while stationary would confirm charging = SB; the real feed does not populate it yet.
Report SB as a single figure; do not attempt SBO/SBE without reason codes.</t>
  </si>
  <si>
    <t>A shuttle parked at a terminus stop that is not the depot will be counted as OD, not SB, unless a second geofence is added; STANDBY_DWELL_S and DEPOT_RADIUS_M are placeholders. In the sample the only qualifying run is the first 41 s before departure.</t>
  </si>
  <si>
    <t>Operating Time</t>
  </si>
  <si>
    <t>OT</t>
  </si>
  <si>
    <t>Available and under the control of a human OR A SYSTEM. Conventionally gross operating hours (GOH). The 'or a system' wording is what makes the model apply to autonomous fleets.</t>
  </si>
  <si>
    <t>From leaving the depot to returning to it, including stops for pedestrians and at bus stops. Engaged autonomous driving and manual driving by the safety operator both count.</t>
  </si>
  <si>
    <t>OT = AT - SB</t>
  </si>
  <si>
    <t>none directly (inherits SB's fields)</t>
  </si>
  <si>
    <t>AT, SB</t>
  </si>
  <si>
    <t>Inherits the depot geofence from SB and the maintenance log from DT.</t>
  </si>
  <si>
    <t>Identity. In practice OT is everything in the roster that is not SB (and not DT once a log exists). Cross-check: OT should equal the sum of state in {OD, WT, NP} on the Classification sheet (Summary!CHK1 covers this).
The events feed, when specified, can refine the boundary: an 'engage' followed by movement marks the start of OT more precisely than the first speed sample.</t>
  </si>
  <si>
    <t>Under DT = 0, OT = ST - SB, so anything the heuristic misclassifies as SB is lost from OT and vice versa.</t>
  </si>
  <si>
    <t>Operating Delay</t>
  </si>
  <si>
    <t>OD</t>
  </si>
  <si>
    <t>Running but temporarily stopped by delays inherent to the operation or the immediate physical conditions. Within the operator's control conventionally, or the control system's autonomously: waiting for assignment, stuck, spill cleanup with operator aboard, loss of GPS or site wireless, safety stops.</t>
  </si>
  <si>
    <t>Stopped for a pedestrian or cyclist, obstacle on the path, safety-operator takeover (disengagement) and recovery, GPS/RTK dropout, waiting at a crossing, emergency stop.</t>
  </si>
  <si>
    <t>OD = OT - WT  (measured as stationary away from the depot for &gt;= dwell, GPS loss while stopped, telemetry gaps away from the depot, and disengagement events once available)</t>
  </si>
  <si>
    <t>timestamp, latitude, longitude, speed_mps, gps_status</t>
  </si>
  <si>
    <t>OT (and SB, so a stop is not counted twice)</t>
  </si>
  <si>
    <t>DELAY_DWELL_S (config). Route stop geofences to separate passenger dwell from delay. Disengagement events (schema not yet specified, docs/data-schema.md section 3) with engage/disengage pairs and a cause.</t>
  </si>
  <si>
    <t>1. Reuse stationary, in_depot and the run grouping from SB.
2. A run that is stationary AND NOT in_depot AND lasts &gt;= DELAY_DWELL_S is OD. Single stationary samples (&lt; DELAY_DWELL_S) are normal driving: give-way, corners.
3. A stationary sample with gps_status = -1 is OD regardless of run length (GMG names loss of GPS as an operating delay). A moving sample with no fix stays WT.
4. A telemetry gap &gt; MAX_GAP_S whose last sample was away from the depot is OD (loss of site wireless).
5. When events arrive: every interval between a disengage and the next engage is OD via the override column, unless the cause is a fault, in which case it is DT. Events must be joined by vehicle_id and timestamp; if they are timestamped by the receiver rather than the vehicle, align them to the nearest position sample.
6. With a stop list: a stationary run inside a stop geofence and shorter than a max dwell is boarding, i.e. intended function (PT, or NP as 'waiting at the loading unit'), NOT OD.</t>
  </si>
  <si>
    <t>Without stop geofences every bus-stop dwell &gt;= DELAY_DWELL_S is counted as OD, which overstates delay on a passenger service. In the sample two 10 s roadside stops qualify as OD.</t>
  </si>
  <si>
    <t>Working Time</t>
  </si>
  <si>
    <t>WT</t>
  </si>
  <si>
    <t>Operating as assigned and performing its intended function, covering activities that do and do not directly produce. Conventionally net operating hours (NOH).</t>
  </si>
  <si>
    <t>Driving the route with or without passengers, boarding at stops, repositioning between runs.</t>
  </si>
  <si>
    <t>WT = OT - OD</t>
  </si>
  <si>
    <t>OT, OD</t>
  </si>
  <si>
    <t>Inherits everything above it.</t>
  </si>
  <si>
    <t>Identity. Equivalent to the sum of state in {WT, NP} on the Classification sheet (Summary!CHK3). Because NP cannot be isolated, report at Working Time as the guideline allows; the dashboard's finest honest bucket today is WT.</t>
  </si>
  <si>
    <t>Inherits every heuristic error from SB and OD.</t>
  </si>
  <si>
    <t>Non-Productive Time</t>
  </si>
  <si>
    <t>NP</t>
  </si>
  <si>
    <t>Unavoidable activity that does not directly produce but enables safe, efficient operation to continue: face cleanup, moving trailing cables, tramming, travel empty, waiting at the loading unit.</t>
  </si>
  <si>
    <t>Driving the route with zero passengers aboard, deadheading back to the depot or to the start of the route, waiting at a stop for passengers to arrive.</t>
  </si>
  <si>
    <t>NP = WT - PT  (measured from passenger occupancy)</t>
  </si>
  <si>
    <t>none. Needs an occupancy signal per sample or per trip.</t>
  </si>
  <si>
    <t>Passenger count (door sensor / APC, seat sensors, or a manual tally per trip). Optionally route stop geofences for the 'waiting at loading unit' proxy.</t>
  </si>
  <si>
    <t>1. Join occupancy to the position stream: a sample interval with occupancy = 0 while moving, or stationary at a stop with occupancy = 0, is NP (override column).
2. NP_s = SUMIFS over state = NP.
Proxy without a count: define the route as a polyline; movement away from the route (to the depot or a charger) is deadheading = NP. Everything on-route stays PT. This under-counts empty runs.</t>
  </si>
  <si>
    <t>Until occupancy exists, NP = 0 and PT = WT by construction. Label Production Effectiveness as 'PT folded into WT'.</t>
  </si>
  <si>
    <t>Productive Time</t>
  </si>
  <si>
    <t>PT</t>
  </si>
  <si>
    <t>Performing its intended function on activities that directly contribute to production. If NP cannot be isolated, fold the two together and report at Working Time.</t>
  </si>
  <si>
    <t>Carrying passengers along the route, including dwell at stops while they board.</t>
  </si>
  <si>
    <t>PT = WT - NP</t>
  </si>
  <si>
    <t>WT, NP</t>
  </si>
  <si>
    <t>Inherits the occupancy requirement from NP.</t>
  </si>
  <si>
    <t>Identity. Reported as WT until NP is measurable.</t>
  </si>
  <si>
    <t>Same as NP.</t>
  </si>
  <si>
    <t>GMG KPIs</t>
  </si>
  <si>
    <t>Each KPI is a ratio of layer totals. Feasibility is the weakest feasibility of the layers it uses. Any KPI that touches DT is only meaningful once a maintenance log exists.</t>
  </si>
  <si>
    <t>KPI</t>
  </si>
  <si>
    <t>Excel formula</t>
  </si>
  <si>
    <t>Sample value</t>
  </si>
  <si>
    <t>Layers used</t>
  </si>
  <si>
    <t>What it tells you (GMG)</t>
  </si>
  <si>
    <t>Dashboard note</t>
  </si>
  <si>
    <t>Uptime</t>
  </si>
  <si>
    <t>AT / CT</t>
  </si>
  <si>
    <t>AT, CT</t>
  </si>
  <si>
    <t>Time the asset was capable of operating, scheduled or not.</t>
  </si>
  <si>
    <t>Valid only under DT = 0 until a maintenance log exists; then it equals ST / CT, i.e. the roster fraction. Say so on the tile.</t>
  </si>
  <si>
    <t>Calendar Availability</t>
  </si>
  <si>
    <t>(CT - DT) / CT</t>
  </si>
  <si>
    <t>CT, DT</t>
  </si>
  <si>
    <t>Guideline alternative to Uptime that strips the effect of unscheduled time dragging the metric down (often a commercial decision rather than an equipment problem).</t>
  </si>
  <si>
    <t>Always 100% with DT = 0. Hide until DT is real.</t>
  </si>
  <si>
    <t>Mechanical Availability</t>
  </si>
  <si>
    <t>OT / (OT + DT)</t>
  </si>
  <si>
    <t>OT, DT</t>
  </si>
  <si>
    <t>The cleanest read on maintenance impact. Numerator is operating time, not available time, so standby is excluded and idle hours cannot inflate it.</t>
  </si>
  <si>
    <t>Physical Availability</t>
  </si>
  <si>
    <t>AT / ST</t>
  </si>
  <si>
    <t>AT, ST</t>
  </si>
  <si>
    <t>Availability that does absorb standby; contrast with Mechanical Availability.</t>
  </si>
  <si>
    <t>Use of Availability</t>
  </si>
  <si>
    <t>OT / AT</t>
  </si>
  <si>
    <t>OT, AT</t>
  </si>
  <si>
    <t>How well the operation uses the equipment it has in working order. The maintenance-versus-operations dividing line: high mechanical availability with low use of availability means the fleet is fine and the operation is not feeding it work.</t>
  </si>
  <si>
    <t>Computable today as 1 - SB / ST. Quality depends on the depot geofence and roster.</t>
  </si>
  <si>
    <t>Asset Utilisation</t>
  </si>
  <si>
    <t>OT / CT</t>
  </si>
  <si>
    <t>OT, CT</t>
  </si>
  <si>
    <t>Operating hours against all calendar hours.</t>
  </si>
  <si>
    <t>Computable today. Small numbers are normal for a daytime-only service (10 h roster =&gt; max ~42%).</t>
  </si>
  <si>
    <t>Effective Utilisation</t>
  </si>
  <si>
    <t>WT / ST</t>
  </si>
  <si>
    <t>WT, ST</t>
  </si>
  <si>
    <t>Intended-function time against scheduled time. Clears downtime, standby and operating delay in one ratio: the closest single number to 'did we get value from the shift'.</t>
  </si>
  <si>
    <t>Computable today; the headline utilisation tile. Needs the roster or ST is 24 h/day.</t>
  </si>
  <si>
    <t>Operating Efficiency</t>
  </si>
  <si>
    <t>WT / OT</t>
  </si>
  <si>
    <t>WT, OT</t>
  </si>
  <si>
    <t>Delay burden once the machine is running. For an autonomous shuttle this is close to a direct readout of how often it stops for obstacles and pedestrians.</t>
  </si>
  <si>
    <t>Computable today. Will improve markedly once disengagement events and stop geofences separate passenger dwell from delay.</t>
  </si>
  <si>
    <t>Production Effectiveness</t>
  </si>
  <si>
    <t>PT / OT</t>
  </si>
  <si>
    <t>PT, OT</t>
  </si>
  <si>
    <t>Productive hours against gross operating hours.</t>
  </si>
  <si>
    <t>Equals Operating Efficiency while NP = 0. Hide or label 'PT folded into WT' until occupancy exists.</t>
  </si>
  <si>
    <t>Dataset fields and where they exist</t>
  </si>
  <si>
    <t>Y = present and populated, E = column present but empty, - = column absent. Sources: docs/data-schema.md, the CSV headers, data/README.md.</t>
  </si>
  <si>
    <t>Field</t>
  </si>
  <si>
    <t>Type</t>
  </si>
  <si>
    <t>Meaning</t>
  </si>
  <si>
    <t>positions_1.csv (real, 5 s)</t>
  </si>
  <si>
    <t>positions_2.csv (synthetic)</t>
  </si>
  <si>
    <t>rtkfull-gps-track-full.csv (real, ~0.2 s)</t>
  </si>
  <si>
    <t>sample-track.csv (synthetic)</t>
  </si>
  <si>
    <t>events (unspecified)</t>
  </si>
  <si>
    <t>Used by layers</t>
  </si>
  <si>
    <t>Notes</t>
  </si>
  <si>
    <t>vehicle_id</t>
  </si>
  <si>
    <t>text</t>
  </si>
  <si>
    <t>Which shuttle. Implied by the file name via config/vehicles.yaml, not a column.</t>
  </si>
  <si>
    <t>file</t>
  </si>
  <si>
    <t>?</t>
  </si>
  <si>
    <t>all (partition key)</t>
  </si>
  <si>
    <t>Every layer is computed per vehicle then summed for the fleet.</t>
  </si>
  <si>
    <t>timestamp</t>
  </si>
  <si>
    <t>ISO 8601 UTC 'Z'</t>
  </si>
  <si>
    <t>Sample time, microsecond precision.</t>
  </si>
  <si>
    <t>Y</t>
  </si>
  <si>
    <t>CT, UT, SB, OD (dt_s, run lengths, roster test)</t>
  </si>
  <si>
    <t>Parse formula in Classification!B.</t>
  </si>
  <si>
    <t>timestamp_unix</t>
  </si>
  <si>
    <t>integer seconds</t>
  </si>
  <si>
    <t>Same instant as whole seconds.</t>
  </si>
  <si>
    <t>-</t>
  </si>
  <si>
    <t>none (redundant)</t>
  </si>
  <si>
    <t>Do not rely on it: absent from positions_2.csv and it drops the sub-second part.</t>
  </si>
  <si>
    <t>latitude</t>
  </si>
  <si>
    <t>real WGS84</t>
  </si>
  <si>
    <t>Null when no fix.</t>
  </si>
  <si>
    <t>SB, OD (depot / stop geofence)</t>
  </si>
  <si>
    <t>Both no-fix rows in the real sample still carry a position (last known).</t>
  </si>
  <si>
    <t>longitude</t>
  </si>
  <si>
    <t>SB, OD</t>
  </si>
  <si>
    <t>altitude / altitude_m</t>
  </si>
  <si>
    <t>real m</t>
  </si>
  <si>
    <t>Ellipsoidal height.</t>
  </si>
  <si>
    <t>Values around -20 m; not useful for classification.</t>
  </si>
  <si>
    <t>heading / heading_deg</t>
  </si>
  <si>
    <t>real deg</t>
  </si>
  <si>
    <t>Course over ground.</t>
  </si>
  <si>
    <t>Could separate 'stopped and turning' but adds nothing over speed.</t>
  </si>
  <si>
    <t>speed_mps</t>
  </si>
  <si>
    <t>real m/s</t>
  </si>
  <si>
    <t>Ground speed.</t>
  </si>
  <si>
    <t>SB, OD (stationary test)</t>
  </si>
  <si>
    <t>Noise floor at rest 0.05 to 0.12 m/s in the real track; max 1.86 m/s.</t>
  </si>
  <si>
    <t>gps_status</t>
  </si>
  <si>
    <t>int</t>
  </si>
  <si>
    <t>-1 no fix, 0 fix, 1 SBAS, 2 GBAS.</t>
  </si>
  <si>
    <t>OD (loss of GPS), position trust for SB</t>
  </si>
  <si>
    <t>Two of 439 real rows are -1. Absent from the synthetic files, so treat missing as 'fix'.</t>
  </si>
  <si>
    <t>position_covariance_type</t>
  </si>
  <si>
    <t>sensor_msgs/NavSatFix covariance type.</t>
  </si>
  <si>
    <t>Always 2 in the real data. Not in the API model.</t>
  </si>
  <si>
    <t>battery_percent</t>
  </si>
  <si>
    <t>real 0-100</t>
  </si>
  <si>
    <t>State of charge.</t>
  </si>
  <si>
    <t>E</t>
  </si>
  <si>
    <t>SB (charging confirmation), DT (flat battery) once populated</t>
  </si>
  <si>
    <t>Only the synthetic files populate it. Do not build logic on it yet.</t>
  </si>
  <si>
    <t>engage / disengage event</t>
  </si>
  <si>
    <t>unspecified</t>
  </si>
  <si>
    <t>Autonomy engaged or handed to the operator.</t>
  </si>
  <si>
    <t>TBD</t>
  </si>
  <si>
    <t>OD (delay between disengage and engage), DT (if cause = fault)</t>
  </si>
  <si>
    <t>Schema unknown: see the four client questions in docs/data-schema.md section 3.</t>
  </si>
  <si>
    <t>Dataset inventory</t>
  </si>
  <si>
    <t>File</t>
  </si>
  <si>
    <t>Rows</t>
  </si>
  <si>
    <t>Provenance</t>
  </si>
  <si>
    <t>Interval</t>
  </si>
  <si>
    <t>Span</t>
  </si>
  <si>
    <t>data/sample/positions_1.csv</t>
  </si>
  <si>
    <t>Real. Copy of GPS_Report/data/rtkfull-gps-track-5s.csv</t>
  </si>
  <si>
    <t>5 s</t>
  </si>
  <si>
    <t>2025-09-04 08:21:10 to 08:58:37 UTC (37.5 min)</t>
  </si>
  <si>
    <t>Used for the Classification sheet. Path length 2.63 km, max 554 m from start, ends 2 m from start (a loop from the depot).</t>
  </si>
  <si>
    <t>data/sample/positions_2.csv</t>
  </si>
  <si>
    <t>Synthetic. Vehicle 1 offset ~200 m and decimated</t>
  </si>
  <si>
    <t>10 s</t>
  </si>
  <si>
    <t>same</t>
  </si>
  <si>
    <t>No gps_status, no timestamp_unix, battery populated. Exists for the multi-vehicle UI, not for metrics.</t>
  </si>
  <si>
    <t>GPS_Report/data/rtkfull-gps-track-full.csv</t>
  </si>
  <si>
    <t>Real. Full-rate source of the 5 s file</t>
  </si>
  <si>
    <t>~0.2 s</t>
  </si>
  <si>
    <t>Same track at 25x the sample rate. Use it to test that the classifier is insensitive to polling rate.</t>
  </si>
  <si>
    <t>GPS_Report/data/sample-track.csv</t>
  </si>
  <si>
    <t>Synthetic hand-written example</t>
  </si>
  <si>
    <t>2026-08-17 04:00 UTC, 1 min</t>
  </si>
  <si>
    <t>Whole-second timestamps (no fraction); the parse formula handles that.</t>
  </si>
  <si>
    <t>events</t>
  </si>
  <si>
    <t>Not delivered</t>
  </si>
  <si>
    <t>Format unknown.</t>
  </si>
  <si>
    <t>Inputs that would unlock the remaining layers</t>
  </si>
  <si>
    <t>Input</t>
  </si>
  <si>
    <t>What it is</t>
  </si>
  <si>
    <t>Suggested format / home</t>
  </si>
  <si>
    <t>Unlocks</t>
  </si>
  <si>
    <t>Effect on feasibility</t>
  </si>
  <si>
    <t>Priority</t>
  </si>
  <si>
    <t>Service roster</t>
  </si>
  <si>
    <t>Daily start/end per weekday, plus holiday and non-service dates.</t>
  </si>
  <si>
    <t>config/app.yaml service_hours block, or a small table (weekday, start, end) and (date, reason).</t>
  </si>
  <si>
    <t>UT, ST and every KPI with ST or CT in the denominator</t>
  </si>
  <si>
    <t>Turns UT/ST from placeholder to Yes. Without it ST = CT and utilisation looks tiny.</t>
  </si>
  <si>
    <t>1</t>
  </si>
  <si>
    <t>Depot geofence</t>
  </si>
  <si>
    <t>Centre and radius of where the shuttle parks between runs.</t>
  </si>
  <si>
    <t>config/app.yaml (map.centre is already the right point); DEPOT_* parameters here.</t>
  </si>
  <si>
    <t>SB, hence OT</t>
  </si>
  <si>
    <t>Confirms the standby heuristic. Add a second fence if there is a charging bay elsewhere.</t>
  </si>
  <si>
    <t>Route stop list</t>
  </si>
  <si>
    <t>Lat/lon/radius of each passenger stop on the nUWAy route.</t>
  </si>
  <si>
    <t>Table (stop_id, name, lat, lon, radius_m) in config or the database.</t>
  </si>
  <si>
    <t>OD vs PT/NP split</t>
  </si>
  <si>
    <t>Stops passenger boarding being counted as Operating Delay. Biggest accuracy win for Operating Efficiency.</t>
  </si>
  <si>
    <t>2</t>
  </si>
  <si>
    <t>Disengagement events</t>
  </si>
  <si>
    <t>Engage/disengage records with cause, per docs/data-schema.md section 3.</t>
  </si>
  <si>
    <t>events table (vehicle_id, timestamp, kind, cause) once the client answers the four open questions.</t>
  </si>
  <si>
    <t>OD (precise), DT (fault cause)</t>
  </si>
  <si>
    <t>Replaces the 'stationary away from depot' proxy with ground truth for takeovers.</t>
  </si>
  <si>
    <t>Maintenance / fault log</t>
  </si>
  <si>
    <t>Periods the vehicle was not fit for duty, with cause.</t>
  </si>
  <si>
    <t>CMMS export or a manual sheet (vehicle_id, start, end, cause).</t>
  </si>
  <si>
    <t>DT, AT, all availability KPIs</t>
  </si>
  <si>
    <t>Only way to make Uptime, Mechanical and Physical Availability meaningful.</t>
  </si>
  <si>
    <t>Passenger occupancy</t>
  </si>
  <si>
    <t>Number aboard per sample or per trip.</t>
  </si>
  <si>
    <t>Door-counter feed joined by timestamp, or a per-trip tally.</t>
  </si>
  <si>
    <t>NP, PT, Production Effectiveness</t>
  </si>
  <si>
    <t>Lets PT be split from WT as the guideline intends.</t>
  </si>
  <si>
    <t>3</t>
  </si>
  <si>
    <t>Standby reason codes</t>
  </si>
  <si>
    <t>Why the shuttle was parked: operator break, no operator, weather, closure.</t>
  </si>
  <si>
    <t>Operator log or roster exceptions.</t>
  </si>
  <si>
    <t>SBO / SBE split</t>
  </si>
  <si>
    <t>Needed for contractor-style billing of external standby.</t>
  </si>
  <si>
    <t>Real battery telemetry</t>
  </si>
  <si>
    <t>battery_percent populated by the live feed.</t>
  </si>
  <si>
    <t>Already in the schema; needs the vehicle to publish it.</t>
  </si>
  <si>
    <t>SB confirmation, DT (flat)</t>
  </si>
  <si>
    <t>Nice to have.</t>
  </si>
  <si>
    <t>Tunable parameters</t>
  </si>
  <si>
    <t>Every classification formula reads these named cells. Change a value here and the Classification, Summary, Layers and KPIs sheets recalculate. All are placeholders to be confirmed with the client unless the Source column says otherwise.</t>
  </si>
  <si>
    <t>Name</t>
  </si>
  <si>
    <t>Value</t>
  </si>
  <si>
    <t>Unit</t>
  </si>
  <si>
    <t>Description</t>
  </si>
  <si>
    <t>Source / justification</t>
  </si>
  <si>
    <t>SPEED_STOP_MPS</t>
  </si>
  <si>
    <t>m/s</t>
  </si>
  <si>
    <t>Speed at or below which a sample counts as stationary. Real track shows GPS speed noise of 0.05 to 0.12 m/s while parked, so 0.1 is too tight; 0.2 leaves margin.</t>
  </si>
  <si>
    <t>Measured from positions_1.csv (real).</t>
  </si>
  <si>
    <t>DEPOT_LAT</t>
  </si>
  <si>
    <t>deg WGS84</t>
  </si>
  <si>
    <t>Latitude of the depot / base geofence centre. Standby is only counted inside this fence.</t>
  </si>
  <si>
    <t>First sample of the real track, which is also the map centre in config/app.yaml. Confirm with client.</t>
  </si>
  <si>
    <t>DEPOT_LON</t>
  </si>
  <si>
    <t>Longitude of the depot geofence centre.</t>
  </si>
  <si>
    <t>As above.</t>
  </si>
  <si>
    <t>DEPOT_RADIUS_M</t>
  </si>
  <si>
    <t>m</t>
  </si>
  <si>
    <t>Radius of the depot geofence. RTK fix error is sub-metre; a plain fix can wander ~5 m, so 30 m keeps a parked shuttle inside the fence without swallowing the adjacent road.</t>
  </si>
  <si>
    <t>Placeholder.</t>
  </si>
  <si>
    <t>STANDBY_DWELL_S</t>
  </si>
  <si>
    <t>s</t>
  </si>
  <si>
    <t>A stationary run inside the depot must last at least this long before it is Standby. Shorter stops in the depot are treated as Working Time (about to depart / just arrived).</t>
  </si>
  <si>
    <t>Placeholder. Client to advise typical layover.</t>
  </si>
  <si>
    <t>DELAY_DWELL_S</t>
  </si>
  <si>
    <t>A stationary run away from the depot must last at least this long before it is an Operating Delay. At 5 s polling this is two consecutive stationary samples; a single stationary sample is treated as normal driving (give-way, corner).</t>
  </si>
  <si>
    <t>Placeholder. Two polling intervals at expected_poll_interval_seconds=6 in config/app.yaml.</t>
  </si>
  <si>
    <t>MAX_GAP_S</t>
  </si>
  <si>
    <t>A gap between consecutive samples longer than this is a telemetry outage. The interval is still attributed (Standby if last seen inside the depot, else Operating Delay) so all Calendar Time is accounted for.</t>
  </si>
  <si>
    <t>config/app.yaml liveness.inactivity_threshold_seconds.</t>
  </si>
  <si>
    <t>SERVICE_START</t>
  </si>
  <si>
    <t>time of day (Perth)</t>
  </si>
  <si>
    <t>Start of the daily service window. Time outside the window on service days, and all of non-service days, is Unscheduled Time.</t>
  </si>
  <si>
    <t>Placeholder. Needs the nUWAy roster from the client.</t>
  </si>
  <si>
    <t>SERVICE_END</t>
  </si>
  <si>
    <t>End of the daily service window.</t>
  </si>
  <si>
    <t>SERVICE_LAST_WEEKDAY</t>
  </si>
  <si>
    <t>1=Mon .. 7=Sun</t>
  </si>
  <si>
    <t>Last day of the week that is a service day. 5 means Monday to Friday.</t>
  </si>
  <si>
    <t>UTC_OFFSET_H</t>
  </si>
  <si>
    <t>h</t>
  </si>
  <si>
    <t>Offset applied to the stored UTC timestamps before testing the service window. Perth is UTC+8 year round.</t>
  </si>
  <si>
    <t>docs/data-schema.md section 4 and config/app.yaml display.utc_offset_hours.</t>
  </si>
  <si>
    <t>WINDOW_START</t>
  </si>
  <si>
    <t>UTC datetime</t>
  </si>
  <si>
    <t>Optional. Start of the reporting window. Leave blank to use the first sample. Set both WINDOW_* cells to report a full day or week so that time with no telemetry is counted as Calendar Time rather than silently dropped.</t>
  </si>
  <si>
    <t>Equivalent to the from parameter of GET /api/positions.</t>
  </si>
  <si>
    <t>WINDOW_END</t>
  </si>
  <si>
    <t>Optional. End of the reporting window. Leave blank to use the last sample.</t>
  </si>
  <si>
    <t>Equivalent to the to parameter of GET /api/positions.</t>
  </si>
  <si>
    <t>timestamp (dataset)</t>
  </si>
  <si>
    <t>t_utc</t>
  </si>
  <si>
    <t>t_local</t>
  </si>
  <si>
    <t>dt_s</t>
  </si>
  <si>
    <t>dist_depot_m</t>
  </si>
  <si>
    <t>in_service</t>
  </si>
  <si>
    <t>stationary</t>
  </si>
  <si>
    <t>in_depot</t>
  </si>
  <si>
    <t>has_fix</t>
  </si>
  <si>
    <t>gap</t>
  </si>
  <si>
    <t>run_id</t>
  </si>
  <si>
    <t>run_s</t>
  </si>
  <si>
    <t>state_auto</t>
  </si>
  <si>
    <t>override</t>
  </si>
  <si>
    <t>state</t>
  </si>
  <si>
    <t>Column notes</t>
  </si>
  <si>
    <t>2025-09-04T08:21:10.484987Z</t>
  </si>
  <si>
    <t>Parse ISO 8601 text to an Excel datetime (UTC).</t>
  </si>
  <si>
    <t>2025-09-04T08:21:15.492094Z</t>
  </si>
  <si>
    <t>Shift to Perth for the service-window test.</t>
  </si>
  <si>
    <t>2025-09-04T08:21:20.685688Z</t>
  </si>
  <si>
    <t>Seconds until the next sample. This interval is what gets classified.</t>
  </si>
  <si>
    <t>2025-09-04T08:21:25.691718Z</t>
  </si>
  <si>
    <t>Haversine distance to the depot geofence centre.</t>
  </si>
  <si>
    <t>2025-09-04T08:21:30.881857Z</t>
  </si>
  <si>
    <t>Inside roster? Otherwise the interval is Unscheduled.</t>
  </si>
  <si>
    <t>2025-09-04T08:21:36.075095Z</t>
  </si>
  <si>
    <t>speed_mps below SPEED_STOP_MPS.</t>
  </si>
  <si>
    <t>2025-09-04T08:21:41.295780Z</t>
  </si>
  <si>
    <t>dist_depot_m within DEPOT_RADIUS_M.</t>
  </si>
  <si>
    <t>2025-09-04T08:21:46.486189Z</t>
  </si>
  <si>
    <t>gps_status &gt;= 0 (-1 is no fix).</t>
  </si>
  <si>
    <t>2025-09-04T08:21:51.669762Z</t>
  </si>
  <si>
    <t>dt_s above MAX_GAP_S: telemetry outage.</t>
  </si>
  <si>
    <t>2025-09-04T08:21:56.675538Z</t>
  </si>
  <si>
    <t>Increments when stationary or in_depot changes, so a run is a maximal stretch with the same status.</t>
  </si>
  <si>
    <t>2025-09-04T08:22:01.876955Z</t>
  </si>
  <si>
    <t>Total length of the run this row belongs to (applies the dwell test to every row of the run, not just the tail).</t>
  </si>
  <si>
    <t>2025-09-04T08:22:07.066162Z</t>
  </si>
  <si>
    <t>Leaf bucket from the rules. UT, SB, OD or WT.</t>
  </si>
  <si>
    <t>2025-09-04T08:22:12.288855Z</t>
  </si>
  <si>
    <t>Manual or joined value (DT from a maintenance log, NP from a passenger count, OD from a disengagement event). Wins over state_auto.</t>
  </si>
  <si>
    <t>2025-09-04T08:22:17.490638Z</t>
  </si>
  <si>
    <t>Final leaf bucket used by Summary.</t>
  </si>
  <si>
    <t>2025-09-04T08:22:22.671167Z</t>
  </si>
  <si>
    <t>2025-09-04T08:22:27.689267Z</t>
  </si>
  <si>
    <t>Source</t>
  </si>
  <si>
    <t>data/sample/positions_1.csv (439 rows, real RTK track, 5 s polling, 2025-09-04 08:21 to 08:58 UTC = 16:21 to 16:58 Perth, a Thursday). Only the columns the model uses are copied; altitude, heading, covariance type and the empty battery column are left out.</t>
  </si>
  <si>
    <t>2025-09-04T08:22:32.697800Z</t>
  </si>
  <si>
    <t>2025-09-04T08:22:37.877672Z</t>
  </si>
  <si>
    <t>state_auto tests in this order: outside roster -&gt; UT; telemetry gap -&gt; SB if last seen in depot else OD; stationary in depot for the dwell -&gt; SB; stationary with no GPS fix -&gt; OD (GMG lists loss of GPS as an operating delay); stationary away from depot for the dwell -&gt; OD; everything else -&gt; WT. A row can only land in one bucket, which is what makes the buckets sum to Calendar Time.</t>
  </si>
  <si>
    <t>2025-09-04T08:22:42.883498Z</t>
  </si>
  <si>
    <t>2025-09-04T08:22:47.893359Z</t>
  </si>
  <si>
    <t>2025-09-04T08:22:53.083322Z</t>
  </si>
  <si>
    <t>2025-09-04T08:22:58.294676Z</t>
  </si>
  <si>
    <t>2025-09-04T08:23:03.304843Z</t>
  </si>
  <si>
    <t>2025-09-04T08:23:08.310923Z</t>
  </si>
  <si>
    <t>2025-09-04T08:23:13.501214Z</t>
  </si>
  <si>
    <t>2025-09-04T08:23:18.691148Z</t>
  </si>
  <si>
    <t>2025-09-04T08:23:23.871955Z</t>
  </si>
  <si>
    <t>2025-09-04T08:23:28.879423Z</t>
  </si>
  <si>
    <t>2025-09-04T08:23:33.888103Z</t>
  </si>
  <si>
    <t>2025-09-04T08:23:39.080591Z</t>
  </si>
  <si>
    <t>2025-09-04T08:23:44.301489Z</t>
  </si>
  <si>
    <t>2025-09-04T08:23:49.310718Z</t>
  </si>
  <si>
    <t>2025-09-04T08:23:54.501035Z</t>
  </si>
  <si>
    <t>2025-09-04T08:23:59.690971Z</t>
  </si>
  <si>
    <t>2025-09-04T08:24:04.881572Z</t>
  </si>
  <si>
    <t>2025-09-04T08:24:09.888389Z</t>
  </si>
  <si>
    <t>2025-09-04T08:24:15.078305Z</t>
  </si>
  <si>
    <t>2025-09-04T08:24:20.292157Z</t>
  </si>
  <si>
    <t>2025-09-04T08:24:25.310016Z</t>
  </si>
  <si>
    <t>2025-09-04T08:24:30.490926Z</t>
  </si>
  <si>
    <t>2025-09-04T08:24:35.497696Z</t>
  </si>
  <si>
    <t>2025-09-04T08:24:40.665825Z</t>
  </si>
  <si>
    <t>2025-09-04T08:24:45.686187Z</t>
  </si>
  <si>
    <t>2025-09-04T08:24:50.694284Z</t>
  </si>
  <si>
    <t>2025-09-04T08:24:55.701676Z</t>
  </si>
  <si>
    <t>2025-09-04T08:25:00.880513Z</t>
  </si>
  <si>
    <t>2025-09-04T08:25:05.899933Z</t>
  </si>
  <si>
    <t>2025-09-04T08:25:11.100765Z</t>
  </si>
  <si>
    <t>2025-09-04T08:25:16.323020Z</t>
  </si>
  <si>
    <t>2025-09-04T08:25:21.331127Z</t>
  </si>
  <si>
    <t>2025-09-04T08:25:26.500205Z</t>
  </si>
  <si>
    <t>2025-09-04T08:25:31.510103Z</t>
  </si>
  <si>
    <t>2025-09-04T08:25:36.517611Z</t>
  </si>
  <si>
    <t>2025-09-04T08:25:41.696160Z</t>
  </si>
  <si>
    <t>2025-09-04T08:25:46.897484Z</t>
  </si>
  <si>
    <t>2025-09-04T08:25:52.088592Z</t>
  </si>
  <si>
    <t>2025-09-04T08:25:57.311987Z</t>
  </si>
  <si>
    <t>2025-09-04T08:26:02.492563Z</t>
  </si>
  <si>
    <t>2025-09-04T08:26:07.684584Z</t>
  </si>
  <si>
    <t>2025-09-04T08:26:12.876225Z</t>
  </si>
  <si>
    <t>2025-09-04T08:26:17.881425Z</t>
  </si>
  <si>
    <t>2025-09-04T08:26:23.071579Z</t>
  </si>
  <si>
    <t>2025-09-04T08:26:28.090802Z</t>
  </si>
  <si>
    <t>2025-09-04T08:26:33.313890Z</t>
  </si>
  <si>
    <t>2025-09-04T08:26:38.492678Z</t>
  </si>
  <si>
    <t>2025-09-04T08:26:43.500111Z</t>
  </si>
  <si>
    <t>2025-09-04T08:26:48.667755Z</t>
  </si>
  <si>
    <t>2025-09-04T08:26:53.697111Z</t>
  </si>
  <si>
    <t>2025-09-04T08:26:58.877909Z</t>
  </si>
  <si>
    <t>2025-09-04T08:27:04.071859Z</t>
  </si>
  <si>
    <t>2025-09-04T08:27:09.079293Z</t>
  </si>
  <si>
    <t>2025-09-04T08:27:14.300218Z</t>
  </si>
  <si>
    <t>2025-09-04T08:27:19.490402Z</t>
  </si>
  <si>
    <t>2025-09-04T08:27:24.681659Z</t>
  </si>
  <si>
    <t>2025-09-04T08:27:29.688652Z</t>
  </si>
  <si>
    <t>2025-09-04T08:27:34.878356Z</t>
  </si>
  <si>
    <t>2025-09-04T08:27:40.081669Z</t>
  </si>
  <si>
    <t>2025-09-04T08:27:45.304301Z</t>
  </si>
  <si>
    <t>2025-09-04T08:27:50.494092Z</t>
  </si>
  <si>
    <t>2025-09-04T08:27:55.684182Z</t>
  </si>
  <si>
    <t>2025-09-04T08:28:00.886104Z</t>
  </si>
  <si>
    <t>2025-09-04T08:28:06.076386Z</t>
  </si>
  <si>
    <t>2025-09-04T08:28:11.288616Z</t>
  </si>
  <si>
    <t>2025-09-04T08:28:16.299551Z</t>
  </si>
  <si>
    <t>2025-09-04T08:28:21.304882Z</t>
  </si>
  <si>
    <t>2025-09-04T08:28:26.495811Z</t>
  </si>
  <si>
    <t>2025-09-04T08:28:31.503684Z</t>
  </si>
  <si>
    <t>2025-09-04T08:28:36.683212Z</t>
  </si>
  <si>
    <t>2025-09-04T08:28:41.700888Z</t>
  </si>
  <si>
    <t>2025-09-04T08:28:46.893024Z</t>
  </si>
  <si>
    <t>2025-09-04T08:28:52.082788Z</t>
  </si>
  <si>
    <t>2025-09-04T08:28:57.304996Z</t>
  </si>
  <si>
    <t>2025-09-04T08:29:02.312381Z</t>
  </si>
  <si>
    <t>2025-09-04T08:29:07.503630Z</t>
  </si>
  <si>
    <t>2025-09-04T08:29:12.683092Z</t>
  </si>
  <si>
    <t>2025-09-04T08:29:17.884316Z</t>
  </si>
  <si>
    <t>2025-09-04T08:29:23.075159Z</t>
  </si>
  <si>
    <t>2025-09-04T08:29:28.083379Z</t>
  </si>
  <si>
    <t>2025-09-04T08:29:33.318419Z</t>
  </si>
  <si>
    <t>2025-09-04T08:29:38.495483Z</t>
  </si>
  <si>
    <t>2025-09-04T08:29:43.495622Z</t>
  </si>
  <si>
    <t>2025-09-04T08:29:48.684146Z</t>
  </si>
  <si>
    <t>2025-09-04T08:29:53.712778Z</t>
  </si>
  <si>
    <t>2025-09-04T08:29:58.892875Z</t>
  </si>
  <si>
    <t>2025-09-04T08:30:03.901392Z</t>
  </si>
  <si>
    <t>2025-09-04T08:30:09.093424Z</t>
  </si>
  <si>
    <t>2025-09-04T08:30:14.326372Z</t>
  </si>
  <si>
    <t>2025-09-04T08:30:19.515618Z</t>
  </si>
  <si>
    <t>2025-09-04T08:30:24.685812Z</t>
  </si>
  <si>
    <t>2025-09-04T08:30:29.714028Z</t>
  </si>
  <si>
    <t>2025-09-04T08:30:34.896203Z</t>
  </si>
  <si>
    <t>2025-09-04T08:30:40.085241Z</t>
  </si>
  <si>
    <t>2025-09-04T08:30:45.104523Z</t>
  </si>
  <si>
    <t>2025-09-04T08:30:50.325882Z</t>
  </si>
  <si>
    <t>2025-09-04T08:30:55.506185Z</t>
  </si>
  <si>
    <t>2025-09-04T08:31:00.676011Z</t>
  </si>
  <si>
    <t>2025-09-04T08:31:05.686863Z</t>
  </si>
  <si>
    <t>2025-09-04T08:31:10.693428Z</t>
  </si>
  <si>
    <t>2025-09-04T08:31:15.871438Z</t>
  </si>
  <si>
    <t>2025-09-04T08:31:20.877871Z</t>
  </si>
  <si>
    <t>2025-09-04T08:31:26.082342Z</t>
  </si>
  <si>
    <t>2025-09-04T08:31:31.089192Z</t>
  </si>
  <si>
    <t>2025-09-04T08:31:36.302963Z</t>
  </si>
  <si>
    <t>2025-09-04T08:31:41.319579Z</t>
  </si>
  <si>
    <t>2025-09-04T08:31:46.498242Z</t>
  </si>
  <si>
    <t>2025-09-04T08:31:51.507742Z</t>
  </si>
  <si>
    <t>2025-09-04T08:31:56.686742Z</t>
  </si>
  <si>
    <t>2025-09-04T08:32:01.877285Z</t>
  </si>
  <si>
    <t>2025-09-04T08:32:06.896743Z</t>
  </si>
  <si>
    <t>2025-09-04T08:32:12.087351Z</t>
  </si>
  <si>
    <t>2025-09-04T08:32:17.309616Z</t>
  </si>
  <si>
    <t>2025-09-04T08:32:22.318470Z</t>
  </si>
  <si>
    <t>2025-09-04T08:32:27.323959Z</t>
  </si>
  <si>
    <t>2025-09-04T08:32:32.494224Z</t>
  </si>
  <si>
    <t>2025-09-04T08:32:37.502313Z</t>
  </si>
  <si>
    <t>2025-09-04T08:32:42.509134Z</t>
  </si>
  <si>
    <t>2025-09-04T08:32:47.699188Z</t>
  </si>
  <si>
    <t>2025-09-04T08:32:52.902646Z</t>
  </si>
  <si>
    <t>2025-09-04T08:32:58.081806Z</t>
  </si>
  <si>
    <t>2025-09-04T08:33:03.089660Z</t>
  </si>
  <si>
    <t>2025-09-04T08:33:08.312889Z</t>
  </si>
  <si>
    <t>2025-09-04T08:33:13.501786Z</t>
  </si>
  <si>
    <t>2025-09-04T08:33:18.682726Z</t>
  </si>
  <si>
    <t>2025-09-04T08:33:23.690905Z</t>
  </si>
  <si>
    <t>2025-09-04T08:33:28.883071Z</t>
  </si>
  <si>
    <t>2025-09-04T08:33:34.072080Z</t>
  </si>
  <si>
    <t>2025-09-04T08:33:39.306939Z</t>
  </si>
  <si>
    <t>2025-09-04T08:33:44.314529Z</t>
  </si>
  <si>
    <t>2025-09-04T08:33:49.493935Z</t>
  </si>
  <si>
    <t>2025-09-04T08:33:54.683124Z</t>
  </si>
  <si>
    <t>2025-09-04T08:33:59.864383Z</t>
  </si>
  <si>
    <t>2025-09-04T08:34:04.882403Z</t>
  </si>
  <si>
    <t>2025-09-04T08:34:09.889821Z</t>
  </si>
  <si>
    <t>2025-09-04T08:34:15.070140Z</t>
  </si>
  <si>
    <t>2025-09-04T08:34:20.292689Z</t>
  </si>
  <si>
    <t>2025-09-04T08:34:25.309812Z</t>
  </si>
  <si>
    <t>2025-09-04T08:34:30.320000Z</t>
  </si>
  <si>
    <t>2025-09-04T08:34:35.499402Z</t>
  </si>
  <si>
    <t>2025-09-04T08:34:40.691385Z</t>
  </si>
  <si>
    <t>2025-09-04T08:34:45.890420Z</t>
  </si>
  <si>
    <t>2025-09-04T08:34:50.893455Z</t>
  </si>
  <si>
    <t>2025-09-04T08:34:56.079723Z</t>
  </si>
  <si>
    <t>2025-09-04T08:35:01.097471Z</t>
  </si>
  <si>
    <t>2025-09-04T08:35:06.320360Z</t>
  </si>
  <si>
    <t>2025-09-04T08:35:11.499361Z</t>
  </si>
  <si>
    <t>2025-09-04T08:35:16.681817Z</t>
  </si>
  <si>
    <t>2025-09-04T08:35:21.881504Z</t>
  </si>
  <si>
    <t>2025-09-04T08:35:26.890513Z</t>
  </si>
  <si>
    <t>2025-09-04T08:35:32.080330Z</t>
  </si>
  <si>
    <t>2025-09-04T08:35:37.086134Z</t>
  </si>
  <si>
    <t>2025-09-04T08:35:42.310996Z</t>
  </si>
  <si>
    <t>2025-09-04T08:35:47.500451Z</t>
  </si>
  <si>
    <t>2025-09-04T08:35:52.714013Z</t>
  </si>
  <si>
    <t>2025-09-04T08:35:57.871147Z</t>
  </si>
  <si>
    <t>2025-09-04T08:36:02.890351Z</t>
  </si>
  <si>
    <t>2025-09-04T08:36:08.082683Z</t>
  </si>
  <si>
    <t>2025-09-04T08:36:13.089133Z</t>
  </si>
  <si>
    <t>2025-09-04T08:36:18.311701Z</t>
  </si>
  <si>
    <t>2025-09-04T08:36:23.501812Z</t>
  </si>
  <si>
    <t>2025-09-04T08:36:28.696877Z</t>
  </si>
  <si>
    <t>2025-09-04T08:36:33.885366Z</t>
  </si>
  <si>
    <t>2025-09-04T08:36:39.072550Z</t>
  </si>
  <si>
    <t>2025-09-04T08:36:44.090983Z</t>
  </si>
  <si>
    <t>2025-09-04T08:36:49.314415Z</t>
  </si>
  <si>
    <t>2025-09-04T08:36:54.496099Z</t>
  </si>
  <si>
    <t>2025-09-04T08:36:59.501733Z</t>
  </si>
  <si>
    <t>2025-09-04T08:37:04.694893Z</t>
  </si>
  <si>
    <t>2025-09-04T08:37:09.885640Z</t>
  </si>
  <si>
    <t>2025-09-04T08:37:14.892422Z</t>
  </si>
  <si>
    <t>2025-09-04T08:37:19.899851Z</t>
  </si>
  <si>
    <t>2025-09-04T08:37:25.090417Z</t>
  </si>
  <si>
    <t>2025-09-04T08:37:30.313121Z</t>
  </si>
  <si>
    <t>2025-09-04T08:37:35.504511Z</t>
  </si>
  <si>
    <t>2025-09-04T08:37:40.694932Z</t>
  </si>
  <si>
    <t>2025-09-04T08:37:45.895784Z</t>
  </si>
  <si>
    <t>2025-09-04T08:37:51.096563Z</t>
  </si>
  <si>
    <t>2025-09-04T08:37:56.320930Z</t>
  </si>
  <si>
    <t>2025-09-04T08:38:01.488748Z</t>
  </si>
  <si>
    <t>2025-09-04T08:38:06.499302Z</t>
  </si>
  <si>
    <t>2025-09-04T08:38:11.696602Z</t>
  </si>
  <si>
    <t>2025-09-04T08:38:16.878838Z</t>
  </si>
  <si>
    <t>2025-09-04T08:38:21.886281Z</t>
  </si>
  <si>
    <t>2025-09-04T08:38:27.077186Z</t>
  </si>
  <si>
    <t>2025-09-04T08:38:32.083336Z</t>
  </si>
  <si>
    <t>2025-09-04T08:38:37.306817Z</t>
  </si>
  <si>
    <t>2025-09-04T08:38:42.338630Z</t>
  </si>
  <si>
    <t>2025-09-04T08:38:47.495858Z</t>
  </si>
  <si>
    <t>2025-09-04T08:38:52.503324Z</t>
  </si>
  <si>
    <t>2025-09-04T08:38:57.683754Z</t>
  </si>
  <si>
    <t>2025-09-04T08:39:02.693671Z</t>
  </si>
  <si>
    <t>2025-09-04T08:39:07.901832Z</t>
  </si>
  <si>
    <t>2025-09-04T08:39:13.071333Z</t>
  </si>
  <si>
    <t>2025-09-04T08:39:18.082752Z</t>
  </si>
  <si>
    <t>2025-09-04T08:39:23.312685Z</t>
  </si>
  <si>
    <t>2025-09-04T08:39:28.505085Z</t>
  </si>
  <si>
    <t>2025-09-04T08:39:33.684601Z</t>
  </si>
  <si>
    <t>2025-09-04T08:39:38.703617Z</t>
  </si>
  <si>
    <t>2025-09-04T08:39:43.892630Z</t>
  </si>
  <si>
    <t>2025-09-04T08:39:49.085881Z</t>
  </si>
  <si>
    <t>2025-09-04T08:39:54.305859Z</t>
  </si>
  <si>
    <t>2025-09-04T08:39:59.506028Z</t>
  </si>
  <si>
    <t>2025-09-04T08:40:04.698336Z</t>
  </si>
  <si>
    <t>2025-09-04T08:40:09.889235Z</t>
  </si>
  <si>
    <t>2025-09-04T08:40:15.071305Z</t>
  </si>
  <si>
    <t>2025-09-04T08:40:20.302341Z</t>
  </si>
  <si>
    <t>2025-09-04T08:40:25.309124Z</t>
  </si>
  <si>
    <t>2025-09-04T08:40:30.489568Z</t>
  </si>
  <si>
    <t>2025-09-04T08:40:35.693469Z</t>
  </si>
  <si>
    <t>2025-09-04T08:40:40.870763Z</t>
  </si>
  <si>
    <t>2025-09-04T08:40:45.879351Z</t>
  </si>
  <si>
    <t>2025-09-04T08:40:51.068386Z</t>
  </si>
  <si>
    <t>2025-09-04T08:40:56.078084Z</t>
  </si>
  <si>
    <t>2025-09-04T08:41:01.300742Z</t>
  </si>
  <si>
    <t>2025-09-04T08:41:06.318704Z</t>
  </si>
  <si>
    <t>2025-09-04T08:41:11.509498Z</t>
  </si>
  <si>
    <t>2025-09-04T08:41:16.700252Z</t>
  </si>
  <si>
    <t>2025-09-04T08:41:21.891427Z</t>
  </si>
  <si>
    <t>2025-09-04T08:41:27.080715Z</t>
  </si>
  <si>
    <t>2025-09-04T08:41:32.088356Z</t>
  </si>
  <si>
    <t>2025-09-04T08:41:37.311156Z</t>
  </si>
  <si>
    <t>2025-09-04T08:41:42.492106Z</t>
  </si>
  <si>
    <t>2025-09-04T08:41:47.500104Z</t>
  </si>
  <si>
    <t>2025-09-04T08:41:52.691351Z</t>
  </si>
  <si>
    <t>2025-09-04T08:41:57.890034Z</t>
  </si>
  <si>
    <t>2025-09-04T08:42:03.076509Z</t>
  </si>
  <si>
    <t>2025-09-04T08:42:08.077895Z</t>
  </si>
  <si>
    <t>2025-09-04T08:42:13.302241Z</t>
  </si>
  <si>
    <t>2025-09-04T08:42:18.309789Z</t>
  </si>
  <si>
    <t>2025-09-04T08:42:23.319216Z</t>
  </si>
  <si>
    <t>2025-09-04T08:42:28.496778Z</t>
  </si>
  <si>
    <t>2025-09-04T08:42:33.687766Z</t>
  </si>
  <si>
    <t>2025-09-04T08:42:38.695363Z</t>
  </si>
  <si>
    <t>2025-09-04T08:42:43.887933Z</t>
  </si>
  <si>
    <t>2025-09-04T08:42:48.895017Z</t>
  </si>
  <si>
    <t>2025-09-04T08:42:54.077299Z</t>
  </si>
  <si>
    <t>2025-09-04T08:42:59.084175Z</t>
  </si>
  <si>
    <t>2025-09-04T08:43:04.305517Z</t>
  </si>
  <si>
    <t>2025-09-04T08:43:09.312146Z</t>
  </si>
  <si>
    <t>2025-09-04T08:43:14.319463Z</t>
  </si>
  <si>
    <t>2025-09-04T08:43:19.489839Z</t>
  </si>
  <si>
    <t>2025-09-04T08:43:24.499241Z</t>
  </si>
  <si>
    <t>2025-09-04T08:43:29.688474Z</t>
  </si>
  <si>
    <t>2025-09-04T08:43:34.698956Z</t>
  </si>
  <si>
    <t>2025-09-04T08:43:39.704887Z</t>
  </si>
  <si>
    <t>2025-09-04T08:43:44.896372Z</t>
  </si>
  <si>
    <t>2025-09-04T08:43:50.076233Z</t>
  </si>
  <si>
    <t>2025-09-04T08:43:55.094041Z</t>
  </si>
  <si>
    <t>2025-09-04T08:44:00.499481Z</t>
  </si>
  <si>
    <t>2025-09-04T08:44:05.690305Z</t>
  </si>
  <si>
    <t>2025-09-04T08:44:10.881638Z</t>
  </si>
  <si>
    <t>2025-09-04T08:44:15.897960Z</t>
  </si>
  <si>
    <t>2025-09-04T08:44:20.905998Z</t>
  </si>
  <si>
    <t>2025-09-04T08:44:26.075149Z</t>
  </si>
  <si>
    <t>2025-09-04T08:44:31.075159Z</t>
  </si>
  <si>
    <t>2025-09-04T08:44:36.083495Z</t>
  </si>
  <si>
    <t>2025-09-04T08:44:41.090882Z</t>
  </si>
  <si>
    <t>2025-09-04T08:44:46.313498Z</t>
  </si>
  <si>
    <t>2025-09-04T08:44:51.320607Z</t>
  </si>
  <si>
    <t>2025-09-04T08:44:56.503928Z</t>
  </si>
  <si>
    <t>2025-09-04T08:45:01.692593Z</t>
  </si>
  <si>
    <t>2025-09-04T08:45:06.882238Z</t>
  </si>
  <si>
    <t>2025-09-04T08:45:11.901320Z</t>
  </si>
  <si>
    <t>2025-09-04T08:45:17.082397Z</t>
  </si>
  <si>
    <t>2025-09-04T08:45:22.303971Z</t>
  </si>
  <si>
    <t>2025-09-04T08:45:27.495251Z</t>
  </si>
  <si>
    <t>2025-09-04T08:45:32.502635Z</t>
  </si>
  <si>
    <t>2025-09-04T08:45:37.692821Z</t>
  </si>
  <si>
    <t>2025-09-04T08:45:42.699714Z</t>
  </si>
  <si>
    <t>2025-09-04T08:45:47.891189Z</t>
  </si>
  <si>
    <t>2025-09-04T08:45:53.092944Z</t>
  </si>
  <si>
    <t>2025-09-04T08:45:58.325560Z</t>
  </si>
  <si>
    <t>2025-09-04T08:46:03.505211Z</t>
  </si>
  <si>
    <t>2025-09-04T08:46:08.513643Z</t>
  </si>
  <si>
    <t>2025-09-04T08:46:13.683538Z</t>
  </si>
  <si>
    <t>2025-09-04T08:46:18.693976Z</t>
  </si>
  <si>
    <t>2025-09-04T08:46:23.701477Z</t>
  </si>
  <si>
    <t>2025-09-04T08:46:28.889742Z</t>
  </si>
  <si>
    <t>2025-09-04T08:46:33.896981Z</t>
  </si>
  <si>
    <t>2025-09-04T08:46:39.099597Z</t>
  </si>
  <si>
    <t>2025-09-04T08:46:44.321333Z</t>
  </si>
  <si>
    <t>2025-09-04T08:46:49.512115Z</t>
  </si>
  <si>
    <t>2025-09-04T08:46:54.694867Z</t>
  </si>
  <si>
    <t>2025-09-04T08:46:59.893117Z</t>
  </si>
  <si>
    <t>2025-09-04T08:47:04.902845Z</t>
  </si>
  <si>
    <t>2025-09-04T08:47:10.101343Z</t>
  </si>
  <si>
    <t>2025-09-04T08:47:15.314260Z</t>
  </si>
  <si>
    <t>2025-09-04T08:47:20.493428Z</t>
  </si>
  <si>
    <t>2025-09-04T08:47:25.501844Z</t>
  </si>
  <si>
    <t>2025-09-04T08:47:30.509345Z</t>
  </si>
  <si>
    <t>2025-09-04T08:47:35.700769Z</t>
  </si>
  <si>
    <t>2025-09-04T08:47:40.889897Z</t>
  </si>
  <si>
    <t>2025-09-04T08:47:46.082956Z</t>
  </si>
  <si>
    <t>2025-09-04T08:47:51.315366Z</t>
  </si>
  <si>
    <t>2025-09-04T08:47:56.496101Z</t>
  </si>
  <si>
    <t>2025-09-04T08:48:01.685150Z</t>
  </si>
  <si>
    <t>2025-09-04T08:48:06.876049Z</t>
  </si>
  <si>
    <t>2025-09-04T08:48:11.894387Z</t>
  </si>
  <si>
    <t>2025-09-04T08:48:17.086035Z</t>
  </si>
  <si>
    <t>2025-09-04T08:48:22.312374Z</t>
  </si>
  <si>
    <t>2025-09-04T08:48:27.318282Z</t>
  </si>
  <si>
    <t>2025-09-04T08:48:32.327552Z</t>
  </si>
  <si>
    <t>2025-09-04T08:48:37.516300Z</t>
  </si>
  <si>
    <t>2025-09-04T08:48:42.686227Z</t>
  </si>
  <si>
    <t>2025-09-04T08:48:47.693445Z</t>
  </si>
  <si>
    <t>2025-09-04T08:48:52.701475Z</t>
  </si>
  <si>
    <t>2025-09-04T08:48:57.883844Z</t>
  </si>
  <si>
    <t>2025-09-04T08:49:02.900826Z</t>
  </si>
  <si>
    <t>2025-09-04T08:49:08.104244Z</t>
  </si>
  <si>
    <t>2025-09-04T08:49:13.323099Z</t>
  </si>
  <si>
    <t>2025-09-04T08:49:18.525035Z</t>
  </si>
  <si>
    <t>2025-09-04T08:49:23.705810Z</t>
  </si>
  <si>
    <t>2025-09-04T08:49:28.907772Z</t>
  </si>
  <si>
    <t>2025-09-04T08:49:34.087946Z</t>
  </si>
  <si>
    <t>2025-09-04T08:49:39.300520Z</t>
  </si>
  <si>
    <t>2025-09-04T08:49:44.307066Z</t>
  </si>
  <si>
    <t>2025-09-04T08:49:49.315948Z</t>
  </si>
  <si>
    <t>2025-09-04T08:49:54.322382Z</t>
  </si>
  <si>
    <t>2025-09-04T08:49:59.330915Z</t>
  </si>
  <si>
    <t>2025-09-04T08:50:04.499671Z</t>
  </si>
  <si>
    <t>2025-09-04T08:50:09.508472Z</t>
  </si>
  <si>
    <t>2025-09-04T08:50:14.708534Z</t>
  </si>
  <si>
    <t>2025-09-04T08:50:19.890203Z</t>
  </si>
  <si>
    <t>2025-09-04T08:50:24.895545Z</t>
  </si>
  <si>
    <t>2025-09-04T08:50:30.089002Z</t>
  </si>
  <si>
    <t>2025-09-04T08:50:35.310252Z</t>
  </si>
  <si>
    <t>2025-09-04T08:50:40.511084Z</t>
  </si>
  <si>
    <t>2025-09-04T08:50:45.691370Z</t>
  </si>
  <si>
    <t>2025-09-04T08:50:50.881244Z</t>
  </si>
  <si>
    <t>2025-09-04T08:50:55.890199Z</t>
  </si>
  <si>
    <t>2025-09-04T08:51:01.079862Z</t>
  </si>
  <si>
    <t>2025-09-04T08:51:06.088183Z</t>
  </si>
  <si>
    <t>2025-09-04T08:51:11.321454Z</t>
  </si>
  <si>
    <t>2025-09-04T08:51:16.510952Z</t>
  </si>
  <si>
    <t>2025-09-04T08:51:21.692132Z</t>
  </si>
  <si>
    <t>2025-09-04T08:51:26.883636Z</t>
  </si>
  <si>
    <t>2025-09-04T08:51:32.085764Z</t>
  </si>
  <si>
    <t>2025-09-04T08:51:37.305884Z</t>
  </si>
  <si>
    <t>2025-09-04T08:51:42.496775Z</t>
  </si>
  <si>
    <t>2025-09-04T08:51:47.688945Z</t>
  </si>
  <si>
    <t>2025-09-04T08:51:52.889905Z</t>
  </si>
  <si>
    <t>2025-09-04T08:51:58.089592Z</t>
  </si>
  <si>
    <t>2025-09-04T08:52:03.312513Z</t>
  </si>
  <si>
    <t>2025-09-04T08:52:08.493654Z</t>
  </si>
  <si>
    <t>2025-09-04T08:52:13.500683Z</t>
  </si>
  <si>
    <t>2025-09-04T08:52:18.693381Z</t>
  </si>
  <si>
    <t>2025-09-04T08:52:23.882448Z</t>
  </si>
  <si>
    <t>2025-09-04T08:52:29.072995Z</t>
  </si>
  <si>
    <t>2025-09-04T08:52:34.082129Z</t>
  </si>
  <si>
    <t>2025-09-04T08:52:39.087768Z</t>
  </si>
  <si>
    <t>2025-09-04T08:52:44.300512Z</t>
  </si>
  <si>
    <t>2025-09-04T08:52:49.492603Z</t>
  </si>
  <si>
    <t>2025-09-04T08:52:54.684159Z</t>
  </si>
  <si>
    <t>2025-09-04T08:52:59.690322Z</t>
  </si>
  <si>
    <t>2025-09-04T08:53:04.697153Z</t>
  </si>
  <si>
    <t>2025-09-04T08:53:09.889430Z</t>
  </si>
  <si>
    <t>2025-09-04T08:53:15.078455Z</t>
  </si>
  <si>
    <t>2025-09-04T08:53:20.086875Z</t>
  </si>
  <si>
    <t>2025-09-04T08:53:25.298392Z</t>
  </si>
  <si>
    <t>2025-09-04T08:53:30.307642Z</t>
  </si>
  <si>
    <t>2025-09-04T08:53:35.314356Z</t>
  </si>
  <si>
    <t>2025-09-04T08:53:40.495056Z</t>
  </si>
  <si>
    <t>2025-09-04T08:53:45.501829Z</t>
  </si>
  <si>
    <t>2025-09-04T08:53:50.693454Z</t>
  </si>
  <si>
    <t>2025-09-04T08:53:55.873589Z</t>
  </si>
  <si>
    <t>2025-09-04T08:54:00.882504Z</t>
  </si>
  <si>
    <t>2025-09-04T08:54:05.891330Z</t>
  </si>
  <si>
    <t>2025-09-04T08:54:11.090502Z</t>
  </si>
  <si>
    <t>2025-09-04T08:54:16.301042Z</t>
  </si>
  <si>
    <t>2025-09-04T08:54:21.503888Z</t>
  </si>
  <si>
    <t>2025-09-04T08:54:26.695797Z</t>
  </si>
  <si>
    <t>2025-09-04T08:54:31.885073Z</t>
  </si>
  <si>
    <t>2025-09-04T08:54:36.903638Z</t>
  </si>
  <si>
    <t>2025-09-04T08:54:42.082752Z</t>
  </si>
  <si>
    <t>2025-09-04T08:54:47.317832Z</t>
  </si>
  <si>
    <t>2025-09-04T08:54:52.324754Z</t>
  </si>
  <si>
    <t>2025-09-04T08:54:57.332536Z</t>
  </si>
  <si>
    <t>2025-09-04T08:55:02.510855Z</t>
  </si>
  <si>
    <t>2025-09-04T08:55:07.681728Z</t>
  </si>
  <si>
    <t>2025-09-04T08:55:12.699602Z</t>
  </si>
  <si>
    <t>2025-09-04T08:55:17.709754Z</t>
  </si>
  <si>
    <t>2025-09-04T08:55:22.897645Z</t>
  </si>
  <si>
    <t>2025-09-04T08:55:28.088624Z</t>
  </si>
  <si>
    <t>2025-09-04T08:55:33.332829Z</t>
  </si>
  <si>
    <t>2025-09-04T08:55:38.502399Z</t>
  </si>
  <si>
    <t>2025-09-04T08:55:43.521175Z</t>
  </si>
  <si>
    <t>2025-09-04T08:55:48.690876Z</t>
  </si>
  <si>
    <t>2025-09-04T08:55:53.697296Z</t>
  </si>
  <si>
    <t>2025-09-04T08:55:58.706884Z</t>
  </si>
  <si>
    <t>2025-09-04T08:56:03.886379Z</t>
  </si>
  <si>
    <t>2025-09-04T08:56:08.894049Z</t>
  </si>
  <si>
    <t>2025-09-04T08:56:14.085546Z</t>
  </si>
  <si>
    <t>2025-09-04T08:56:19.091151Z</t>
  </si>
  <si>
    <t>2025-09-04T08:56:24.313981Z</t>
  </si>
  <si>
    <t>2025-09-04T08:56:29.485742Z</t>
  </si>
  <si>
    <t>2025-09-04T08:56:34.494211Z</t>
  </si>
  <si>
    <t>2025-09-04T08:56:39.510335Z</t>
  </si>
  <si>
    <t>2025-09-04T08:56:44.691519Z</t>
  </si>
  <si>
    <t>2025-09-04T08:56:49.703324Z</t>
  </si>
  <si>
    <t>2025-09-04T08:56:54.888720Z</t>
  </si>
  <si>
    <t>2025-09-04T08:57:00.083199Z</t>
  </si>
  <si>
    <t>2025-09-04T08:57:05.097996Z</t>
  </si>
  <si>
    <t>2025-09-04T08:57:10.099090Z</t>
  </si>
  <si>
    <t>2025-09-04T08:57:15.318255Z</t>
  </si>
  <si>
    <t>2025-09-04T08:57:20.508737Z</t>
  </si>
  <si>
    <t>2025-09-04T08:57:25.700475Z</t>
  </si>
  <si>
    <t>2025-09-04T08:57:30.888730Z</t>
  </si>
  <si>
    <t>2025-09-04T08:57:35.897506Z</t>
  </si>
  <si>
    <t>2025-09-04T08:57:41.089910Z</t>
  </si>
  <si>
    <t>2025-09-04T08:57:46.096700Z</t>
  </si>
  <si>
    <t>2025-09-04T08:57:51.320077Z</t>
  </si>
  <si>
    <t>2025-09-04T08:57:56.499388Z</t>
  </si>
  <si>
    <t>2025-09-04T08:58:01.691701Z</t>
  </si>
  <si>
    <t>2025-09-04T08:58:06.872413Z</t>
  </si>
  <si>
    <t>2025-09-04T08:58:11.877579Z</t>
  </si>
  <si>
    <t>2025-09-04T08:58:17.068340Z</t>
  </si>
  <si>
    <t>2025-09-04T08:58:22.077571Z</t>
  </si>
  <si>
    <t>2025-09-04T08:58:27.299631Z</t>
  </si>
  <si>
    <t>2025-09-04T08:58:32.306548Z</t>
  </si>
  <si>
    <t>2025-09-04T08:58:37.495682Z</t>
  </si>
  <si>
    <t>Layer totals from the Classification sheet</t>
  </si>
  <si>
    <t>Leaf buckets are measured by summing dt_s per state. Every other layer is the GMG identity. The reconciliation rows must be zero; if they are not, a row has been given two states or the window is wider than the classified rows.</t>
  </si>
  <si>
    <t>Kind</t>
  </si>
  <si>
    <t>Seconds</t>
  </si>
  <si>
    <t>Hours</t>
  </si>
  <si>
    <t>% of CT</t>
  </si>
  <si>
    <t>Formula</t>
  </si>
  <si>
    <t>root</t>
  </si>
  <si>
    <t>IF(AND(WINDOW_START&lt;&gt;"",WINDOW_END&lt;&gt;""),(WINDOW_END-WINDOW_START)*86400,SUM(Classification!$H:$H))</t>
  </si>
  <si>
    <t>leaf (measured)</t>
  </si>
  <si>
    <t>SUMIFS(Classification!$H:$H,Classification!$S:$S,"UT")+UNOBS_UT_s</t>
  </si>
  <si>
    <t>derived</t>
  </si>
  <si>
    <t>CT_s-UT_s</t>
  </si>
  <si>
    <t>leaf (external)</t>
  </si>
  <si>
    <t>SUMIFS(Classification!$H:$H,Classification!$S:$S,"DT")</t>
  </si>
  <si>
    <t>ST_s-DT_s</t>
  </si>
  <si>
    <t>SUMIFS(Classification!$H:$H,Classification!$S:$S,"SB")+UNOBS_SB_s</t>
  </si>
  <si>
    <t>AT_s-SB_s</t>
  </si>
  <si>
    <t>SUMIFS(Classification!$H:$H,Classification!$S:$S,"OD")</t>
  </si>
  <si>
    <t>OT_s-OD_s</t>
  </si>
  <si>
    <t>SUMIFS(Classification!$H:$H,Classification!$S:$S,"NP")</t>
  </si>
  <si>
    <t>WT_s-NP_s</t>
  </si>
  <si>
    <t>Unobserved time</t>
  </si>
  <si>
    <t>Window time with no telemetry at all (only non-zero when WINDOW_START/END are set wider than the data). Split by the service window: outside roster it is UT, inside it is treated as SB because a shuttle that is not reporting is almost always powered off at the depot. Replace with DT once a maintenance log says otherwise.</t>
  </si>
  <si>
    <t>UNOBS</t>
  </si>
  <si>
    <t>Unobserved total (s)</t>
  </si>
  <si>
    <t>check</t>
  </si>
  <si>
    <t>CT_s-SUM(dt_s)</t>
  </si>
  <si>
    <t>UNOBS_UT</t>
  </si>
  <si>
    <t>Unobserved outside roster (s)</t>
  </si>
  <si>
    <t>Whole unobserved span -&gt; UT if WINDOW_START falls outside the roster, else -&gt; SB. A per-minute split needs a helper table; the backend should do it exactly (see Layers, Unscheduled Time).</t>
  </si>
  <si>
    <t>UNOBS_SB</t>
  </si>
  <si>
    <t>Unobserved inside roster (s)</t>
  </si>
  <si>
    <t>UNOBS_s-UNOBS_UT_s</t>
  </si>
  <si>
    <t>Reconciliation</t>
  </si>
  <si>
    <t>CHK1</t>
  </si>
  <si>
    <t>Leaf buckets minus CT (must be 0)</t>
  </si>
  <si>
    <t>UT+DT+SB+OD+NP+PT-CT</t>
  </si>
  <si>
    <t>CHK2</t>
  </si>
  <si>
    <t>Classified rows minus (CT - unobserved) (must be 0)</t>
  </si>
  <si>
    <t>SUM(dt_s)-(CT-UNOBS)</t>
  </si>
  <si>
    <t>CHK3</t>
  </si>
  <si>
    <t>WT identity minus WT rows (must be 0)</t>
  </si>
  <si>
    <t>WT_s - (SUMIFS state=WT + SUMIFS state=NP)</t>
  </si>
  <si>
    <t>Sample window</t>
  </si>
  <si>
    <t>First sample (UTC)</t>
  </si>
  <si>
    <t>Last sample (UTC)</t>
  </si>
  <si>
    <t>Rows classified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</si>
</sst>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00"/>
    <numFmt numFmtId="165" formatCode="hh:mm"/>
    <numFmt numFmtId="166" formatCode="yyyy\-mm\-dd\ hh:mm:ss"/>
    <numFmt numFmtId="167" formatCode="yyyy\-mm\-dd\ hh:mm:ss.000"/>
    <numFmt numFmtId="168" formatCode="0.0"/>
    <numFmt numFmtId="169" formatCode="#,##0.0"/>
    <numFmt numFmtId="170" formatCode="0.000"/>
    <numFmt numFmtId="171" formatCode="0.0%"/>
  </numFmts>
  <fonts count="5" x14ac:knownFonts="1">
    <font>
      <sz val="11"/>
      <color theme="1"/>
      <name val="Calibri"/>
      <family val="2"/>
      <scheme val="minor"/>
    </font>
    <font>
      <b/>
      <sz val="14"/>
      <name val="Calibri"/>
      <family val="2"/>
    </font>
    <font>
      <b/>
      <sz val="11"/>
      <color rgb="FFFFFFFF"/>
      <name val="Calibri"/>
      <family val="2"/>
    </font>
    <font>
      <sz val="11"/>
      <name val="Consolas"/>
      <family val="2"/>
    </font>
    <font>
      <b/>
      <sz val="11"/>
      <name val="Calibri"/>
      <family val="2"/>
    </font>
  </fonts>
  <fills count="11">
    <fill>
      <patternFill patternType="none"/>
    </fill>
    <fill>
      <patternFill patternType="gray125"/>
    </fill>
    <fill>
      <patternFill patternType="solid">
        <fgColor rgb="FF1F3864"/>
      </patternFill>
    </fill>
    <fill>
      <patternFill patternType="solid">
        <fgColor rgb="FFFFF2CC"/>
      </patternFill>
    </fill>
    <fill>
      <patternFill patternType="solid">
        <fgColor rgb="FFE2EFDA"/>
      </patternFill>
    </fill>
    <fill>
      <patternFill patternType="solid">
        <fgColor rgb="FFFCE4D6"/>
      </patternFill>
    </fill>
    <fill>
      <patternFill patternType="solid">
        <fgColor rgb="FFDDEBF7"/>
      </patternFill>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9">
    <xf numFmtId="0" fontId="0" fillId="0" borderId="0" xfId="0"/>
    <xf numFmtId="0" fontId="1" fillId="0" borderId="0" xfId="0" applyFont="1"/>
    <xf numFmtId="0" fontId="4" fillId="0" borderId="0" xfId="0" applyFont="1" applyAlignment="1">
      <alignment vertical="top" wrapText="1"/>
    </xf>
    <xf numFmtId="0" fontId="0" fillId="0" borderId="0" xfId="0" applyAlignment="1">
      <alignment vertical="top" wrapText="1"/>
    </xf>
    <xf numFmtId="0" fontId="4" fillId="0" borderId="0" xfId="0" applyFont="1"/>
    <xf numFmtId="0" fontId="3" fillId="0" borderId="0" xfId="0" applyFont="1"/>
    <xf numFmtId="0" fontId="0" fillId="7" borderId="0" xfId="0" applyFill="1"/>
    <xf numFmtId="0" fontId="0" fillId="6" borderId="0" xfId="0" applyFill="1"/>
    <xf numFmtId="0" fontId="0" fillId="8" borderId="0" xfId="0" applyFill="1"/>
    <xf numFmtId="0" fontId="0" fillId="9" borderId="0" xfId="0" applyFill="1"/>
    <xf numFmtId="0" fontId="2" fillId="2" borderId="1" xfId="0" applyFont="1" applyFill="1" applyBorder="1" applyAlignment="1">
      <alignment vertical="top" wrapText="1"/>
    </xf>
    <xf numFmtId="0" fontId="0" fillId="0" borderId="1" xfId="0" applyBorder="1" applyAlignment="1">
      <alignment vertical="top" wrapText="1"/>
    </xf>
    <xf numFmtId="0" fontId="3" fillId="0" borderId="1" xfId="0" applyFont="1" applyBorder="1" applyAlignment="1">
      <alignment vertical="top" wrapText="1"/>
    </xf>
    <xf numFmtId="0" fontId="0" fillId="7" borderId="1" xfId="0" applyFill="1" applyBorder="1" applyAlignment="1">
      <alignment vertical="top" wrapText="1"/>
    </xf>
    <xf numFmtId="169" fontId="0" fillId="0" borderId="1" xfId="0" applyNumberFormat="1" applyBorder="1" applyAlignment="1">
      <alignment vertical="top" wrapText="1"/>
    </xf>
    <xf numFmtId="170" fontId="0" fillId="0" borderId="1" xfId="0" applyNumberFormat="1" applyBorder="1" applyAlignment="1">
      <alignment vertical="top" wrapText="1"/>
    </xf>
    <xf numFmtId="0" fontId="0" fillId="6" borderId="1" xfId="0" applyFill="1" applyBorder="1" applyAlignment="1">
      <alignment vertical="top" wrapText="1"/>
    </xf>
    <xf numFmtId="0" fontId="0" fillId="8" borderId="1" xfId="0" applyFill="1" applyBorder="1" applyAlignment="1">
      <alignment vertical="top" wrapText="1"/>
    </xf>
    <xf numFmtId="0" fontId="0" fillId="9" borderId="1" xfId="0" applyFill="1" applyBorder="1" applyAlignment="1">
      <alignment vertical="top" wrapText="1"/>
    </xf>
    <xf numFmtId="171" fontId="0" fillId="0" borderId="1" xfId="0" applyNumberFormat="1" applyBorder="1" applyAlignment="1">
      <alignment vertical="top" wrapText="1"/>
    </xf>
    <xf numFmtId="0" fontId="0" fillId="6" borderId="1" xfId="0" applyFill="1" applyBorder="1" applyAlignment="1">
      <alignment horizontal="center" vertical="top"/>
    </xf>
    <xf numFmtId="0" fontId="0" fillId="9" borderId="1" xfId="0" applyFill="1" applyBorder="1" applyAlignment="1">
      <alignment horizontal="center" vertical="top"/>
    </xf>
    <xf numFmtId="0" fontId="0" fillId="7" borderId="1" xfId="0" applyFill="1" applyBorder="1" applyAlignment="1">
      <alignment horizontal="center" vertical="top"/>
    </xf>
    <xf numFmtId="0" fontId="0" fillId="10" borderId="1" xfId="0" applyFill="1" applyBorder="1" applyAlignment="1">
      <alignment horizontal="center" vertical="top"/>
    </xf>
    <xf numFmtId="2" fontId="0" fillId="3" borderId="1" xfId="0" applyNumberFormat="1" applyFill="1" applyBorder="1" applyAlignment="1">
      <alignment vertical="top" wrapText="1"/>
    </xf>
    <xf numFmtId="164" fontId="0" fillId="3" borderId="1" xfId="0" applyNumberFormat="1" applyFill="1" applyBorder="1" applyAlignment="1">
      <alignment vertical="top" wrapText="1"/>
    </xf>
    <xf numFmtId="1" fontId="0" fillId="3" borderId="1" xfId="0" applyNumberFormat="1" applyFill="1" applyBorder="1" applyAlignment="1">
      <alignment vertical="top" wrapText="1"/>
    </xf>
    <xf numFmtId="165" fontId="0" fillId="3" borderId="1" xfId="0" applyNumberFormat="1" applyFill="1" applyBorder="1" applyAlignment="1">
      <alignment vertical="top" wrapText="1"/>
    </xf>
    <xf numFmtId="166" fontId="0" fillId="3" borderId="1" xfId="0" applyNumberFormat="1" applyFill="1" applyBorder="1" applyAlignment="1">
      <alignment vertical="top" wrapText="1"/>
    </xf>
    <xf numFmtId="167" fontId="0" fillId="0" borderId="0" xfId="0" applyNumberFormat="1"/>
    <xf numFmtId="2" fontId="0" fillId="0" borderId="0" xfId="0" applyNumberFormat="1"/>
    <xf numFmtId="168" fontId="0" fillId="0" borderId="0" xfId="0" applyNumberFormat="1"/>
    <xf numFmtId="0" fontId="0" fillId="3" borderId="0" xfId="0" applyFill="1"/>
    <xf numFmtId="0" fontId="0" fillId="4" borderId="1" xfId="0" applyFill="1" applyBorder="1" applyAlignment="1">
      <alignment vertical="top" wrapText="1"/>
    </xf>
    <xf numFmtId="0" fontId="0" fillId="5" borderId="1" xfId="0" applyFill="1" applyBorder="1" applyAlignment="1">
      <alignment vertical="top" wrapText="1"/>
    </xf>
    <xf numFmtId="0" fontId="0" fillId="3" borderId="1" xfId="0" applyFill="1" applyBorder="1" applyAlignment="1">
      <alignment vertical="top" wrapText="1"/>
    </xf>
    <xf numFmtId="166" fontId="0" fillId="0" borderId="1" xfId="0" applyNumberFormat="1" applyBorder="1" applyAlignment="1">
      <alignment vertical="top" wrapText="1"/>
    </xf>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tabSelected="1" zoomScale="136" workbookViewId="0">
      <selection activeCell="A11" sqref="A11"/>
    </sheetView>
  </sheetViews>
  <sheetFormatPr baseColWidth="10" defaultColWidth="8.83203125" defaultRowHeight="15" x14ac:dyDescent="0.2"/>
  <cols>
    <col min="1" max="1" width="44" customWidth="1"/>
    <col min="2" max="2" width="100" customWidth="1"/>
  </cols>
  <sheetData>
    <row r="1" spans="1:2" ht="19" x14ac:dyDescent="0.25">
      <c r="A1" s="1" t="s">
        <v>0</v>
      </c>
    </row>
    <row r="3" spans="1:2" ht="62" customHeight="1" x14ac:dyDescent="0.2">
      <c r="A3" s="2" t="s">
        <v>1</v>
      </c>
      <c r="B3" s="3" t="s">
        <v>2</v>
      </c>
    </row>
    <row r="4" spans="1:2" ht="62" customHeight="1" x14ac:dyDescent="0.2">
      <c r="A4" s="2" t="s">
        <v>3</v>
      </c>
      <c r="B4" s="3" t="s">
        <v>4</v>
      </c>
    </row>
    <row r="5" spans="1:2" ht="62" customHeight="1" x14ac:dyDescent="0.2">
      <c r="A5" s="2" t="s">
        <v>5</v>
      </c>
      <c r="B5" s="3" t="s">
        <v>6</v>
      </c>
    </row>
    <row r="6" spans="1:2" ht="62" customHeight="1" x14ac:dyDescent="0.2">
      <c r="A6" s="2" t="s">
        <v>7</v>
      </c>
      <c r="B6" s="3" t="s">
        <v>8</v>
      </c>
    </row>
    <row r="7" spans="1:2" ht="62" customHeight="1" x14ac:dyDescent="0.2">
      <c r="A7" s="2" t="s">
        <v>9</v>
      </c>
      <c r="B7" s="3" t="s">
        <v>10</v>
      </c>
    </row>
    <row r="8" spans="1:2" ht="62" customHeight="1" x14ac:dyDescent="0.2">
      <c r="A8" s="2" t="s">
        <v>11</v>
      </c>
      <c r="B8" s="3" t="s">
        <v>12</v>
      </c>
    </row>
    <row r="9" spans="1:2" ht="62" customHeight="1" x14ac:dyDescent="0.2">
      <c r="A9" s="2" t="s">
        <v>13</v>
      </c>
      <c r="B9" s="3" t="s">
        <v>14</v>
      </c>
    </row>
    <row r="11" spans="1:2" x14ac:dyDescent="0.2">
      <c r="A11" s="4" t="s">
        <v>15</v>
      </c>
    </row>
    <row r="12" spans="1:2" x14ac:dyDescent="0.2">
      <c r="A12" s="5" t="s">
        <v>16</v>
      </c>
      <c r="B12" s="6" t="s">
        <v>17</v>
      </c>
    </row>
    <row r="13" spans="1:2" x14ac:dyDescent="0.2">
      <c r="A13" s="5" t="s">
        <v>18</v>
      </c>
      <c r="B13" s="6" t="s">
        <v>19</v>
      </c>
    </row>
    <row r="14" spans="1:2" x14ac:dyDescent="0.2">
      <c r="A14" s="5" t="s">
        <v>20</v>
      </c>
      <c r="B14" s="7" t="s">
        <v>21</v>
      </c>
    </row>
    <row r="15" spans="1:2" x14ac:dyDescent="0.2">
      <c r="A15" s="5" t="s">
        <v>22</v>
      </c>
      <c r="B15" s="8" t="s">
        <v>23</v>
      </c>
    </row>
    <row r="16" spans="1:2" x14ac:dyDescent="0.2">
      <c r="A16" s="5" t="s">
        <v>24</v>
      </c>
      <c r="B16" s="7" t="s">
        <v>21</v>
      </c>
    </row>
    <row r="17" spans="1:2" x14ac:dyDescent="0.2">
      <c r="A17" s="5" t="s">
        <v>25</v>
      </c>
      <c r="B17" s="9" t="s">
        <v>26</v>
      </c>
    </row>
    <row r="18" spans="1:2" x14ac:dyDescent="0.2">
      <c r="A18" s="5" t="s">
        <v>27</v>
      </c>
      <c r="B18" s="9" t="s">
        <v>26</v>
      </c>
    </row>
    <row r="19" spans="1:2" x14ac:dyDescent="0.2">
      <c r="A19" s="5" t="s">
        <v>28</v>
      </c>
      <c r="B19" s="9" t="s">
        <v>26</v>
      </c>
    </row>
    <row r="20" spans="1:2" x14ac:dyDescent="0.2">
      <c r="A20" s="5" t="s">
        <v>29</v>
      </c>
      <c r="B20" s="9" t="s">
        <v>26</v>
      </c>
    </row>
    <row r="21" spans="1:2" x14ac:dyDescent="0.2">
      <c r="A21" s="5" t="s">
        <v>30</v>
      </c>
      <c r="B21" s="8" t="s">
        <v>23</v>
      </c>
    </row>
    <row r="22" spans="1:2" x14ac:dyDescent="0.2">
      <c r="A22" s="5" t="s">
        <v>31</v>
      </c>
      <c r="B22" s="8"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5"/>
  <sheetViews>
    <sheetView zoomScale="68" workbookViewId="0">
      <pane xSplit="2" ySplit="4" topLeftCell="C5" activePane="bottomRight" state="frozen"/>
      <selection pane="topRight"/>
      <selection pane="bottomLeft"/>
      <selection pane="bottomRight" activeCell="A12" sqref="A12"/>
    </sheetView>
  </sheetViews>
  <sheetFormatPr baseColWidth="10" defaultColWidth="8.83203125" defaultRowHeight="15" x14ac:dyDescent="0.2"/>
  <cols>
    <col min="1" max="1" width="20" customWidth="1"/>
    <col min="2" max="2" width="6" customWidth="1"/>
    <col min="3" max="3" width="10" customWidth="1"/>
    <col min="4" max="4" width="42" customWidth="1"/>
    <col min="5" max="5" width="36" customWidth="1"/>
    <col min="6" max="6" width="14" customWidth="1"/>
    <col min="7" max="7" width="40" customWidth="1"/>
    <col min="8" max="8" width="18" customWidth="1"/>
    <col min="9" max="9" width="26" customWidth="1"/>
    <col min="10" max="10" width="14" customWidth="1"/>
    <col min="11" max="11" width="30" customWidth="1"/>
    <col min="12" max="12" width="70" customWidth="1"/>
    <col min="13" max="13" width="50" customWidth="1"/>
    <col min="14" max="14" width="12" customWidth="1"/>
    <col min="15" max="15" width="10" customWidth="1"/>
  </cols>
  <sheetData>
    <row r="1" spans="1:15" ht="19" x14ac:dyDescent="0.25">
      <c r="A1" s="1" t="s">
        <v>32</v>
      </c>
    </row>
    <row r="2" spans="1:15" ht="40" customHeight="1" x14ac:dyDescent="0.2">
      <c r="A2" s="37" t="s">
        <v>33</v>
      </c>
      <c r="B2" s="38"/>
      <c r="C2" s="38"/>
      <c r="D2" s="38"/>
      <c r="E2" s="38"/>
      <c r="F2" s="38"/>
      <c r="G2" s="38"/>
      <c r="H2" s="38"/>
      <c r="I2" s="38"/>
      <c r="J2" s="38"/>
      <c r="K2" s="38"/>
      <c r="L2" s="38"/>
      <c r="M2" s="38"/>
      <c r="N2" s="38"/>
      <c r="O2" s="38"/>
    </row>
    <row r="4" spans="1:15" ht="32" x14ac:dyDescent="0.2">
      <c r="A4" s="10" t="s">
        <v>34</v>
      </c>
      <c r="B4" s="10" t="s">
        <v>35</v>
      </c>
      <c r="C4" s="10" t="s">
        <v>36</v>
      </c>
      <c r="D4" s="10" t="s">
        <v>37</v>
      </c>
      <c r="E4" s="10" t="s">
        <v>38</v>
      </c>
      <c r="F4" s="10" t="s">
        <v>39</v>
      </c>
      <c r="G4" s="10" t="s">
        <v>40</v>
      </c>
      <c r="H4" s="10" t="s">
        <v>41</v>
      </c>
      <c r="I4" s="10" t="s">
        <v>42</v>
      </c>
      <c r="J4" s="10" t="s">
        <v>43</v>
      </c>
      <c r="K4" s="10" t="s">
        <v>44</v>
      </c>
      <c r="L4" s="10" t="s">
        <v>45</v>
      </c>
      <c r="M4" s="10" t="s">
        <v>46</v>
      </c>
      <c r="N4" s="10" t="s">
        <v>47</v>
      </c>
      <c r="O4" s="10" t="s">
        <v>48</v>
      </c>
    </row>
    <row r="5" spans="1:15" ht="330" customHeight="1" x14ac:dyDescent="0.2">
      <c r="A5" s="11" t="s">
        <v>49</v>
      </c>
      <c r="B5" s="12" t="s">
        <v>50</v>
      </c>
      <c r="C5" s="11" t="s">
        <v>51</v>
      </c>
      <c r="D5" s="11" t="s">
        <v>52</v>
      </c>
      <c r="E5" s="11" t="s">
        <v>53</v>
      </c>
      <c r="F5" s="12" t="s">
        <v>54</v>
      </c>
      <c r="G5" s="12">
        <f>IF(AND(WINDOW_START&lt;&gt;"",WINDOW_END&lt;&gt;""),(WINDOW_END-WINDOW_START)*86400,SUM(Classification!$H:$H))</f>
        <v>2247.0106954453513</v>
      </c>
      <c r="H5" s="13" t="s">
        <v>17</v>
      </c>
      <c r="I5" s="11" t="s">
        <v>55</v>
      </c>
      <c r="J5" s="11" t="s">
        <v>56</v>
      </c>
      <c r="K5" s="11" t="s">
        <v>57</v>
      </c>
      <c r="L5" s="11" t="s">
        <v>58</v>
      </c>
      <c r="M5" s="11" t="s">
        <v>59</v>
      </c>
      <c r="N5" s="14">
        <f>CT_s</f>
        <v>2247.0106954453513</v>
      </c>
      <c r="O5" s="15">
        <f>CT_s/3600</f>
        <v>0.6241696376237087</v>
      </c>
    </row>
    <row r="6" spans="1:15" ht="330" customHeight="1" x14ac:dyDescent="0.2">
      <c r="A6" s="11" t="s">
        <v>60</v>
      </c>
      <c r="B6" s="12" t="s">
        <v>61</v>
      </c>
      <c r="C6" s="11" t="s">
        <v>50</v>
      </c>
      <c r="D6" s="11" t="s">
        <v>62</v>
      </c>
      <c r="E6" s="11" t="s">
        <v>63</v>
      </c>
      <c r="F6" s="12" t="s">
        <v>64</v>
      </c>
      <c r="G6" s="12">
        <f>SUMIFS(Classification!$H:$H,Classification!$S:$S,"UT")+UNOBS_UT_s</f>
        <v>0</v>
      </c>
      <c r="H6" s="13" t="s">
        <v>19</v>
      </c>
      <c r="I6" s="11" t="s">
        <v>65</v>
      </c>
      <c r="J6" s="11" t="s">
        <v>50</v>
      </c>
      <c r="K6" s="11" t="s">
        <v>66</v>
      </c>
      <c r="L6" s="11" t="s">
        <v>67</v>
      </c>
      <c r="M6" s="11" t="s">
        <v>68</v>
      </c>
      <c r="N6" s="14">
        <f>UT_s</f>
        <v>0</v>
      </c>
      <c r="O6" s="15">
        <f>UT_s/3600</f>
        <v>0</v>
      </c>
    </row>
    <row r="7" spans="1:15" ht="330" customHeight="1" x14ac:dyDescent="0.2">
      <c r="A7" s="11" t="s">
        <v>69</v>
      </c>
      <c r="B7" s="12" t="s">
        <v>70</v>
      </c>
      <c r="C7" s="11" t="s">
        <v>50</v>
      </c>
      <c r="D7" s="11" t="s">
        <v>71</v>
      </c>
      <c r="E7" s="11" t="s">
        <v>72</v>
      </c>
      <c r="F7" s="12" t="s">
        <v>73</v>
      </c>
      <c r="G7" s="12">
        <f>CT_s-UT_s</f>
        <v>2247.0106954453513</v>
      </c>
      <c r="H7" s="16" t="s">
        <v>21</v>
      </c>
      <c r="I7" s="11" t="s">
        <v>74</v>
      </c>
      <c r="J7" s="11" t="s">
        <v>75</v>
      </c>
      <c r="K7" s="11" t="s">
        <v>76</v>
      </c>
      <c r="L7" s="11" t="s">
        <v>77</v>
      </c>
      <c r="M7" s="11" t="s">
        <v>78</v>
      </c>
      <c r="N7" s="14">
        <f>ST_s</f>
        <v>2247.0106954453513</v>
      </c>
      <c r="O7" s="15">
        <f>ST_s/3600</f>
        <v>0.6241696376237087</v>
      </c>
    </row>
    <row r="8" spans="1:15" ht="330" customHeight="1" x14ac:dyDescent="0.2">
      <c r="A8" s="11" t="s">
        <v>79</v>
      </c>
      <c r="B8" s="12" t="s">
        <v>80</v>
      </c>
      <c r="C8" s="11" t="s">
        <v>70</v>
      </c>
      <c r="D8" s="11" t="s">
        <v>81</v>
      </c>
      <c r="E8" s="11" t="s">
        <v>82</v>
      </c>
      <c r="F8" s="12" t="s">
        <v>83</v>
      </c>
      <c r="G8" s="12">
        <f>SUMIFS(Classification!$H:$H,Classification!$S:$S,"DT")</f>
        <v>0</v>
      </c>
      <c r="H8" s="17" t="s">
        <v>23</v>
      </c>
      <c r="I8" s="11" t="s">
        <v>84</v>
      </c>
      <c r="J8" s="11" t="s">
        <v>70</v>
      </c>
      <c r="K8" s="11" t="s">
        <v>85</v>
      </c>
      <c r="L8" s="11" t="s">
        <v>86</v>
      </c>
      <c r="M8" s="11" t="s">
        <v>87</v>
      </c>
      <c r="N8" s="14">
        <f>DT_s</f>
        <v>0</v>
      </c>
      <c r="O8" s="15">
        <f>DT_s/3600</f>
        <v>0</v>
      </c>
    </row>
    <row r="9" spans="1:15" ht="330" customHeight="1" x14ac:dyDescent="0.2">
      <c r="A9" s="11" t="s">
        <v>88</v>
      </c>
      <c r="B9" s="12" t="s">
        <v>89</v>
      </c>
      <c r="C9" s="11" t="s">
        <v>70</v>
      </c>
      <c r="D9" s="11" t="s">
        <v>90</v>
      </c>
      <c r="E9" s="11" t="s">
        <v>91</v>
      </c>
      <c r="F9" s="12" t="s">
        <v>92</v>
      </c>
      <c r="G9" s="12">
        <f>ST_s-DT_s</f>
        <v>2247.0106954453513</v>
      </c>
      <c r="H9" s="16" t="s">
        <v>21</v>
      </c>
      <c r="I9" s="11" t="s">
        <v>74</v>
      </c>
      <c r="J9" s="11" t="s">
        <v>93</v>
      </c>
      <c r="K9" s="11" t="s">
        <v>94</v>
      </c>
      <c r="L9" s="11" t="s">
        <v>95</v>
      </c>
      <c r="M9" s="11" t="s">
        <v>96</v>
      </c>
      <c r="N9" s="14">
        <f>AT_s</f>
        <v>2247.0106954453513</v>
      </c>
      <c r="O9" s="15">
        <f>AT_s/3600</f>
        <v>0.6241696376237087</v>
      </c>
    </row>
    <row r="10" spans="1:15" ht="330" customHeight="1" x14ac:dyDescent="0.2">
      <c r="A10" s="11" t="s">
        <v>97</v>
      </c>
      <c r="B10" s="12" t="s">
        <v>98</v>
      </c>
      <c r="C10" s="11" t="s">
        <v>89</v>
      </c>
      <c r="D10" s="11" t="s">
        <v>99</v>
      </c>
      <c r="E10" s="11" t="s">
        <v>100</v>
      </c>
      <c r="F10" s="12" t="s">
        <v>101</v>
      </c>
      <c r="G10" s="12">
        <f>SUMIFS(Classification!$H:$H,Classification!$S:$S,"SB")+UNOBS_SB_s</f>
        <v>41.184775228612125</v>
      </c>
      <c r="H10" s="18" t="s">
        <v>26</v>
      </c>
      <c r="I10" s="11" t="s">
        <v>102</v>
      </c>
      <c r="J10" s="11" t="s">
        <v>103</v>
      </c>
      <c r="K10" s="11" t="s">
        <v>104</v>
      </c>
      <c r="L10" s="11" t="s">
        <v>105</v>
      </c>
      <c r="M10" s="11" t="s">
        <v>106</v>
      </c>
      <c r="N10" s="14">
        <f>SB_s</f>
        <v>41.184775228612125</v>
      </c>
      <c r="O10" s="15">
        <f>SB_s/3600</f>
        <v>1.1440215341281146E-2</v>
      </c>
    </row>
    <row r="11" spans="1:15" ht="330" customHeight="1" x14ac:dyDescent="0.2">
      <c r="A11" s="11" t="s">
        <v>107</v>
      </c>
      <c r="B11" s="12" t="s">
        <v>108</v>
      </c>
      <c r="C11" s="11" t="s">
        <v>89</v>
      </c>
      <c r="D11" s="11" t="s">
        <v>109</v>
      </c>
      <c r="E11" s="11" t="s">
        <v>110</v>
      </c>
      <c r="F11" s="12" t="s">
        <v>111</v>
      </c>
      <c r="G11" s="12">
        <f>AT_s-SB_s</f>
        <v>2205.8259202167392</v>
      </c>
      <c r="H11" s="18" t="s">
        <v>26</v>
      </c>
      <c r="I11" s="11" t="s">
        <v>112</v>
      </c>
      <c r="J11" s="11" t="s">
        <v>113</v>
      </c>
      <c r="K11" s="11" t="s">
        <v>114</v>
      </c>
      <c r="L11" s="11" t="s">
        <v>115</v>
      </c>
      <c r="M11" s="11" t="s">
        <v>116</v>
      </c>
      <c r="N11" s="14">
        <f>OT_s</f>
        <v>2205.8259202167392</v>
      </c>
      <c r="O11" s="15">
        <f>OT_s/3600</f>
        <v>0.61272942228242755</v>
      </c>
    </row>
    <row r="12" spans="1:15" ht="330" customHeight="1" x14ac:dyDescent="0.2">
      <c r="A12" s="11" t="s">
        <v>117</v>
      </c>
      <c r="B12" s="12" t="s">
        <v>118</v>
      </c>
      <c r="C12" s="11" t="s">
        <v>108</v>
      </c>
      <c r="D12" s="11" t="s">
        <v>119</v>
      </c>
      <c r="E12" s="11" t="s">
        <v>120</v>
      </c>
      <c r="F12" s="12" t="s">
        <v>121</v>
      </c>
      <c r="G12" s="12">
        <f>SUMIFS(Classification!$H:$H,Classification!$S:$S,"OD")</f>
        <v>20.753288408741355</v>
      </c>
      <c r="H12" s="18" t="s">
        <v>26</v>
      </c>
      <c r="I12" s="11" t="s">
        <v>122</v>
      </c>
      <c r="J12" s="11" t="s">
        <v>123</v>
      </c>
      <c r="K12" s="11" t="s">
        <v>124</v>
      </c>
      <c r="L12" s="11" t="s">
        <v>125</v>
      </c>
      <c r="M12" s="11" t="s">
        <v>126</v>
      </c>
      <c r="N12" s="14">
        <f>OD_s</f>
        <v>20.753288408741355</v>
      </c>
      <c r="O12" s="15">
        <f>OD_s/3600</f>
        <v>5.7648023357614875E-3</v>
      </c>
    </row>
    <row r="13" spans="1:15" ht="330" customHeight="1" x14ac:dyDescent="0.2">
      <c r="A13" s="11" t="s">
        <v>127</v>
      </c>
      <c r="B13" s="12" t="s">
        <v>128</v>
      </c>
      <c r="C13" s="11" t="s">
        <v>108</v>
      </c>
      <c r="D13" s="11" t="s">
        <v>129</v>
      </c>
      <c r="E13" s="11" t="s">
        <v>130</v>
      </c>
      <c r="F13" s="12" t="s">
        <v>131</v>
      </c>
      <c r="G13" s="12">
        <f>OT_s-OD_s</f>
        <v>2185.0726318079978</v>
      </c>
      <c r="H13" s="18" t="s">
        <v>26</v>
      </c>
      <c r="I13" s="11" t="s">
        <v>74</v>
      </c>
      <c r="J13" s="11" t="s">
        <v>132</v>
      </c>
      <c r="K13" s="11" t="s">
        <v>133</v>
      </c>
      <c r="L13" s="11" t="s">
        <v>134</v>
      </c>
      <c r="M13" s="11" t="s">
        <v>135</v>
      </c>
      <c r="N13" s="14">
        <f>WT_s</f>
        <v>2185.0726318079978</v>
      </c>
      <c r="O13" s="15">
        <f>WT_s/3600</f>
        <v>0.60696461994666606</v>
      </c>
    </row>
    <row r="14" spans="1:15" ht="330" customHeight="1" x14ac:dyDescent="0.2">
      <c r="A14" s="11" t="s">
        <v>136</v>
      </c>
      <c r="B14" s="12" t="s">
        <v>137</v>
      </c>
      <c r="C14" s="11" t="s">
        <v>128</v>
      </c>
      <c r="D14" s="11" t="s">
        <v>138</v>
      </c>
      <c r="E14" s="11" t="s">
        <v>139</v>
      </c>
      <c r="F14" s="12" t="s">
        <v>140</v>
      </c>
      <c r="G14" s="12">
        <f>SUMIFS(Classification!$H:$H,Classification!$S:$S,"NP")</f>
        <v>0</v>
      </c>
      <c r="H14" s="17" t="s">
        <v>23</v>
      </c>
      <c r="I14" s="11" t="s">
        <v>141</v>
      </c>
      <c r="J14" s="11" t="s">
        <v>128</v>
      </c>
      <c r="K14" s="11" t="s">
        <v>142</v>
      </c>
      <c r="L14" s="11" t="s">
        <v>143</v>
      </c>
      <c r="M14" s="11" t="s">
        <v>144</v>
      </c>
      <c r="N14" s="14">
        <f>NP_s</f>
        <v>0</v>
      </c>
      <c r="O14" s="15">
        <f>NP_s/3600</f>
        <v>0</v>
      </c>
    </row>
    <row r="15" spans="1:15" ht="330" customHeight="1" x14ac:dyDescent="0.2">
      <c r="A15" s="11" t="s">
        <v>145</v>
      </c>
      <c r="B15" s="12" t="s">
        <v>146</v>
      </c>
      <c r="C15" s="11" t="s">
        <v>128</v>
      </c>
      <c r="D15" s="11" t="s">
        <v>147</v>
      </c>
      <c r="E15" s="11" t="s">
        <v>148</v>
      </c>
      <c r="F15" s="12" t="s">
        <v>149</v>
      </c>
      <c r="G15" s="12">
        <f>WT_s-NP_s</f>
        <v>2185.0726318079978</v>
      </c>
      <c r="H15" s="17" t="s">
        <v>23</v>
      </c>
      <c r="I15" s="11" t="s">
        <v>74</v>
      </c>
      <c r="J15" s="11" t="s">
        <v>150</v>
      </c>
      <c r="K15" s="11" t="s">
        <v>151</v>
      </c>
      <c r="L15" s="11" t="s">
        <v>152</v>
      </c>
      <c r="M15" s="11" t="s">
        <v>153</v>
      </c>
      <c r="N15" s="14">
        <f>PT_s</f>
        <v>2185.0726318079978</v>
      </c>
      <c r="O15" s="15">
        <f>PT_s/3600</f>
        <v>0.60696461994666606</v>
      </c>
    </row>
  </sheetData>
  <mergeCells count="1">
    <mergeCell ref="A2:O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3"/>
  <sheetViews>
    <sheetView workbookViewId="0">
      <pane xSplit="1" ySplit="4" topLeftCell="B5" activePane="bottomRight" state="frozen"/>
      <selection pane="topRight"/>
      <selection pane="bottomLeft"/>
      <selection pane="bottomRight"/>
    </sheetView>
  </sheetViews>
  <sheetFormatPr baseColWidth="10" defaultColWidth="8.83203125" defaultRowHeight="15" x14ac:dyDescent="0.2"/>
  <cols>
    <col min="1" max="1" width="24" customWidth="1"/>
    <col min="2" max="2" width="16" customWidth="1"/>
    <col min="3" max="3" width="34" customWidth="1"/>
    <col min="4" max="4" width="12" customWidth="1"/>
    <col min="5" max="5" width="14" customWidth="1"/>
    <col min="6" max="6" width="18" customWidth="1"/>
    <col min="7" max="8" width="55" customWidth="1"/>
  </cols>
  <sheetData>
    <row r="1" spans="1:8" ht="19" x14ac:dyDescent="0.25">
      <c r="A1" s="1" t="s">
        <v>154</v>
      </c>
    </row>
    <row r="2" spans="1:8" ht="35" customHeight="1" x14ac:dyDescent="0.2">
      <c r="A2" s="37" t="s">
        <v>155</v>
      </c>
      <c r="B2" s="38"/>
      <c r="C2" s="38"/>
      <c r="D2" s="38"/>
      <c r="E2" s="38"/>
      <c r="F2" s="38"/>
      <c r="G2" s="38"/>
      <c r="H2" s="38"/>
    </row>
    <row r="4" spans="1:8" ht="32" x14ac:dyDescent="0.2">
      <c r="A4" s="10" t="s">
        <v>156</v>
      </c>
      <c r="B4" s="10" t="s">
        <v>39</v>
      </c>
      <c r="C4" s="10" t="s">
        <v>157</v>
      </c>
      <c r="D4" s="10" t="s">
        <v>158</v>
      </c>
      <c r="E4" s="10" t="s">
        <v>159</v>
      </c>
      <c r="F4" s="10" t="s">
        <v>41</v>
      </c>
      <c r="G4" s="10" t="s">
        <v>160</v>
      </c>
      <c r="H4" s="10" t="s">
        <v>161</v>
      </c>
    </row>
    <row r="5" spans="1:8" ht="75" customHeight="1" x14ac:dyDescent="0.2">
      <c r="A5" s="11" t="s">
        <v>162</v>
      </c>
      <c r="B5" s="12" t="s">
        <v>163</v>
      </c>
      <c r="C5" s="12">
        <f>IFERROR(AT_s/CT_s,0)</f>
        <v>1</v>
      </c>
      <c r="D5" s="19">
        <f>IFERROR(AT_s/CT_s,0)</f>
        <v>1</v>
      </c>
      <c r="E5" s="11" t="s">
        <v>164</v>
      </c>
      <c r="F5" s="13" t="s">
        <v>19</v>
      </c>
      <c r="G5" s="11" t="s">
        <v>165</v>
      </c>
      <c r="H5" s="11" t="s">
        <v>166</v>
      </c>
    </row>
    <row r="6" spans="1:8" ht="75" customHeight="1" x14ac:dyDescent="0.2">
      <c r="A6" s="11" t="s">
        <v>167</v>
      </c>
      <c r="B6" s="12" t="s">
        <v>168</v>
      </c>
      <c r="C6" s="12">
        <f>IFERROR((CT_s-DT_s)/CT_s,0)</f>
        <v>1</v>
      </c>
      <c r="D6" s="19">
        <f>IFERROR((CT_s-DT_s)/CT_s,0)</f>
        <v>1</v>
      </c>
      <c r="E6" s="11" t="s">
        <v>169</v>
      </c>
      <c r="F6" s="17" t="s">
        <v>23</v>
      </c>
      <c r="G6" s="11" t="s">
        <v>170</v>
      </c>
      <c r="H6" s="11" t="s">
        <v>171</v>
      </c>
    </row>
    <row r="7" spans="1:8" ht="75" customHeight="1" x14ac:dyDescent="0.2">
      <c r="A7" s="11" t="s">
        <v>172</v>
      </c>
      <c r="B7" s="12" t="s">
        <v>173</v>
      </c>
      <c r="C7" s="12">
        <f>IFERROR(OT_s/(OT_s+DT_s),0)</f>
        <v>1</v>
      </c>
      <c r="D7" s="19">
        <f>IFERROR(OT_s/(OT_s+DT_s),0)</f>
        <v>1</v>
      </c>
      <c r="E7" s="11" t="s">
        <v>174</v>
      </c>
      <c r="F7" s="17" t="s">
        <v>23</v>
      </c>
      <c r="G7" s="11" t="s">
        <v>175</v>
      </c>
      <c r="H7" s="11" t="s">
        <v>171</v>
      </c>
    </row>
    <row r="8" spans="1:8" ht="75" customHeight="1" x14ac:dyDescent="0.2">
      <c r="A8" s="11" t="s">
        <v>176</v>
      </c>
      <c r="B8" s="12" t="s">
        <v>177</v>
      </c>
      <c r="C8" s="12">
        <f>IFERROR(AT_s/ST_s,0)</f>
        <v>1</v>
      </c>
      <c r="D8" s="19">
        <f>IFERROR(AT_s/ST_s,0)</f>
        <v>1</v>
      </c>
      <c r="E8" s="11" t="s">
        <v>178</v>
      </c>
      <c r="F8" s="17" t="s">
        <v>23</v>
      </c>
      <c r="G8" s="11" t="s">
        <v>179</v>
      </c>
      <c r="H8" s="11" t="s">
        <v>171</v>
      </c>
    </row>
    <row r="9" spans="1:8" ht="75" customHeight="1" x14ac:dyDescent="0.2">
      <c r="A9" s="11" t="s">
        <v>180</v>
      </c>
      <c r="B9" s="12" t="s">
        <v>181</v>
      </c>
      <c r="C9" s="12">
        <f>IFERROR(OT_s/AT_s,0)</f>
        <v>0.98167130431907024</v>
      </c>
      <c r="D9" s="19">
        <f>IFERROR(OT_s/AT_s,0)</f>
        <v>0.98167130431907024</v>
      </c>
      <c r="E9" s="11" t="s">
        <v>182</v>
      </c>
      <c r="F9" s="18" t="s">
        <v>26</v>
      </c>
      <c r="G9" s="11" t="s">
        <v>183</v>
      </c>
      <c r="H9" s="11" t="s">
        <v>184</v>
      </c>
    </row>
    <row r="10" spans="1:8" ht="75" customHeight="1" x14ac:dyDescent="0.2">
      <c r="A10" s="11" t="s">
        <v>185</v>
      </c>
      <c r="B10" s="12" t="s">
        <v>186</v>
      </c>
      <c r="C10" s="12">
        <f>IFERROR(OT_s/CT_s,0)</f>
        <v>0.98167130431907024</v>
      </c>
      <c r="D10" s="19">
        <f>IFERROR(OT_s/CT_s,0)</f>
        <v>0.98167130431907024</v>
      </c>
      <c r="E10" s="11" t="s">
        <v>187</v>
      </c>
      <c r="F10" s="18" t="s">
        <v>26</v>
      </c>
      <c r="G10" s="11" t="s">
        <v>188</v>
      </c>
      <c r="H10" s="11" t="s">
        <v>189</v>
      </c>
    </row>
    <row r="11" spans="1:8" ht="75" customHeight="1" x14ac:dyDescent="0.2">
      <c r="A11" s="11" t="s">
        <v>190</v>
      </c>
      <c r="B11" s="12" t="s">
        <v>191</v>
      </c>
      <c r="C11" s="12">
        <f>IFERROR(WT_s/ST_s,0)</f>
        <v>0.97243534987933045</v>
      </c>
      <c r="D11" s="19">
        <f>IFERROR(WT_s/ST_s,0)</f>
        <v>0.97243534987933045</v>
      </c>
      <c r="E11" s="11" t="s">
        <v>192</v>
      </c>
      <c r="F11" s="18" t="s">
        <v>26</v>
      </c>
      <c r="G11" s="11" t="s">
        <v>193</v>
      </c>
      <c r="H11" s="11" t="s">
        <v>194</v>
      </c>
    </row>
    <row r="12" spans="1:8" ht="75" customHeight="1" x14ac:dyDescent="0.2">
      <c r="A12" s="11" t="s">
        <v>195</v>
      </c>
      <c r="B12" s="12" t="s">
        <v>196</v>
      </c>
      <c r="C12" s="12">
        <f>IFERROR(WT_s/OT_s,0)</f>
        <v>0.99059160189454021</v>
      </c>
      <c r="D12" s="19">
        <f>IFERROR(WT_s/OT_s,0)</f>
        <v>0.99059160189454021</v>
      </c>
      <c r="E12" s="11" t="s">
        <v>197</v>
      </c>
      <c r="F12" s="18" t="s">
        <v>26</v>
      </c>
      <c r="G12" s="11" t="s">
        <v>198</v>
      </c>
      <c r="H12" s="11" t="s">
        <v>199</v>
      </c>
    </row>
    <row r="13" spans="1:8" ht="75" customHeight="1" x14ac:dyDescent="0.2">
      <c r="A13" s="11" t="s">
        <v>200</v>
      </c>
      <c r="B13" s="12" t="s">
        <v>201</v>
      </c>
      <c r="C13" s="12">
        <f>IFERROR(PT_s/OT_s,0)</f>
        <v>0.99059160189454021</v>
      </c>
      <c r="D13" s="19">
        <f>IFERROR(PT_s/OT_s,0)</f>
        <v>0.99059160189454021</v>
      </c>
      <c r="E13" s="11" t="s">
        <v>202</v>
      </c>
      <c r="F13" s="17" t="s">
        <v>23</v>
      </c>
      <c r="G13" s="11" t="s">
        <v>203</v>
      </c>
      <c r="H13" s="11" t="s">
        <v>204</v>
      </c>
    </row>
  </sheetData>
  <mergeCells count="1">
    <mergeCell ref="A2:H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5"/>
  <sheetViews>
    <sheetView workbookViewId="0">
      <pane xSplit="1" ySplit="4" topLeftCell="B5" activePane="bottomRight" state="frozen"/>
      <selection pane="topRight"/>
      <selection pane="bottomLeft"/>
      <selection pane="bottomRight"/>
    </sheetView>
  </sheetViews>
  <sheetFormatPr baseColWidth="10" defaultColWidth="8.83203125" defaultRowHeight="15" x14ac:dyDescent="0.2"/>
  <cols>
    <col min="1" max="1" width="24" customWidth="1"/>
    <col min="2" max="2" width="16" customWidth="1"/>
    <col min="3" max="3" width="44" customWidth="1"/>
    <col min="4" max="5" width="16" customWidth="1"/>
    <col min="6" max="6" width="18" customWidth="1"/>
    <col min="7" max="7" width="16" customWidth="1"/>
    <col min="8" max="8" width="14" customWidth="1"/>
    <col min="9" max="9" width="22" customWidth="1"/>
    <col min="10" max="10" width="50" customWidth="1"/>
  </cols>
  <sheetData>
    <row r="1" spans="1:11" ht="19" x14ac:dyDescent="0.25">
      <c r="A1" s="1" t="s">
        <v>205</v>
      </c>
    </row>
    <row r="2" spans="1:11" x14ac:dyDescent="0.2">
      <c r="A2" s="37" t="s">
        <v>206</v>
      </c>
      <c r="B2" s="38"/>
      <c r="C2" s="38"/>
      <c r="D2" s="38"/>
      <c r="E2" s="38"/>
      <c r="F2" s="38"/>
      <c r="G2" s="38"/>
      <c r="H2" s="38"/>
      <c r="I2" s="38"/>
      <c r="J2" s="38"/>
      <c r="K2" s="38"/>
    </row>
    <row r="4" spans="1:11" ht="32" x14ac:dyDescent="0.2">
      <c r="A4" s="10" t="s">
        <v>207</v>
      </c>
      <c r="B4" s="10" t="s">
        <v>208</v>
      </c>
      <c r="C4" s="10" t="s">
        <v>209</v>
      </c>
      <c r="D4" s="10" t="s">
        <v>210</v>
      </c>
      <c r="E4" s="10" t="s">
        <v>211</v>
      </c>
      <c r="F4" s="10" t="s">
        <v>212</v>
      </c>
      <c r="G4" s="10" t="s">
        <v>213</v>
      </c>
      <c r="H4" s="10" t="s">
        <v>214</v>
      </c>
      <c r="I4" s="10" t="s">
        <v>215</v>
      </c>
      <c r="J4" s="10" t="s">
        <v>216</v>
      </c>
    </row>
    <row r="5" spans="1:11" ht="48" customHeight="1" x14ac:dyDescent="0.2">
      <c r="A5" s="12" t="s">
        <v>217</v>
      </c>
      <c r="B5" s="11" t="s">
        <v>218</v>
      </c>
      <c r="C5" s="11" t="s">
        <v>219</v>
      </c>
      <c r="D5" s="20" t="s">
        <v>220</v>
      </c>
      <c r="E5" s="20" t="s">
        <v>220</v>
      </c>
      <c r="F5" s="20" t="s">
        <v>220</v>
      </c>
      <c r="G5" s="20" t="s">
        <v>220</v>
      </c>
      <c r="H5" s="21" t="s">
        <v>221</v>
      </c>
      <c r="I5" s="11" t="s">
        <v>222</v>
      </c>
      <c r="J5" s="11" t="s">
        <v>223</v>
      </c>
    </row>
    <row r="6" spans="1:11" ht="48" customHeight="1" x14ac:dyDescent="0.2">
      <c r="A6" s="12" t="s">
        <v>224</v>
      </c>
      <c r="B6" s="11" t="s">
        <v>225</v>
      </c>
      <c r="C6" s="11" t="s">
        <v>226</v>
      </c>
      <c r="D6" s="22" t="s">
        <v>227</v>
      </c>
      <c r="E6" s="22" t="s">
        <v>227</v>
      </c>
      <c r="F6" s="22" t="s">
        <v>227</v>
      </c>
      <c r="G6" s="22" t="s">
        <v>227</v>
      </c>
      <c r="H6" s="21" t="s">
        <v>221</v>
      </c>
      <c r="I6" s="11" t="s">
        <v>228</v>
      </c>
      <c r="J6" s="11" t="s">
        <v>229</v>
      </c>
    </row>
    <row r="7" spans="1:11" ht="48" customHeight="1" x14ac:dyDescent="0.2">
      <c r="A7" s="12" t="s">
        <v>230</v>
      </c>
      <c r="B7" s="11" t="s">
        <v>231</v>
      </c>
      <c r="C7" s="11" t="s">
        <v>232</v>
      </c>
      <c r="D7" s="22" t="s">
        <v>227</v>
      </c>
      <c r="E7" s="23" t="s">
        <v>233</v>
      </c>
      <c r="F7" s="22" t="s">
        <v>227</v>
      </c>
      <c r="G7" s="23" t="s">
        <v>233</v>
      </c>
      <c r="H7" s="21" t="s">
        <v>221</v>
      </c>
      <c r="I7" s="11" t="s">
        <v>234</v>
      </c>
      <c r="J7" s="11" t="s">
        <v>235</v>
      </c>
    </row>
    <row r="8" spans="1:11" ht="48" customHeight="1" x14ac:dyDescent="0.2">
      <c r="A8" s="12" t="s">
        <v>236</v>
      </c>
      <c r="B8" s="11" t="s">
        <v>237</v>
      </c>
      <c r="C8" s="11" t="s">
        <v>238</v>
      </c>
      <c r="D8" s="22" t="s">
        <v>227</v>
      </c>
      <c r="E8" s="22" t="s">
        <v>227</v>
      </c>
      <c r="F8" s="22" t="s">
        <v>227</v>
      </c>
      <c r="G8" s="22" t="s">
        <v>227</v>
      </c>
      <c r="H8" s="23" t="s">
        <v>233</v>
      </c>
      <c r="I8" s="11" t="s">
        <v>239</v>
      </c>
      <c r="J8" s="11" t="s">
        <v>240</v>
      </c>
    </row>
    <row r="9" spans="1:11" ht="48" customHeight="1" x14ac:dyDescent="0.2">
      <c r="A9" s="12" t="s">
        <v>241</v>
      </c>
      <c r="B9" s="11" t="s">
        <v>237</v>
      </c>
      <c r="C9" s="11" t="s">
        <v>238</v>
      </c>
      <c r="D9" s="22" t="s">
        <v>227</v>
      </c>
      <c r="E9" s="22" t="s">
        <v>227</v>
      </c>
      <c r="F9" s="22" t="s">
        <v>227</v>
      </c>
      <c r="G9" s="22" t="s">
        <v>227</v>
      </c>
      <c r="H9" s="23" t="s">
        <v>233</v>
      </c>
      <c r="I9" s="11" t="s">
        <v>242</v>
      </c>
      <c r="J9" s="11"/>
    </row>
    <row r="10" spans="1:11" ht="48" customHeight="1" x14ac:dyDescent="0.2">
      <c r="A10" s="12" t="s">
        <v>243</v>
      </c>
      <c r="B10" s="11" t="s">
        <v>244</v>
      </c>
      <c r="C10" s="11" t="s">
        <v>245</v>
      </c>
      <c r="D10" s="22" t="s">
        <v>227</v>
      </c>
      <c r="E10" s="23" t="s">
        <v>233</v>
      </c>
      <c r="F10" s="22" t="s">
        <v>227</v>
      </c>
      <c r="G10" s="23" t="s">
        <v>233</v>
      </c>
      <c r="H10" s="23" t="s">
        <v>233</v>
      </c>
      <c r="I10" s="11" t="s">
        <v>56</v>
      </c>
      <c r="J10" s="11" t="s">
        <v>246</v>
      </c>
    </row>
    <row r="11" spans="1:11" ht="48" customHeight="1" x14ac:dyDescent="0.2">
      <c r="A11" s="12" t="s">
        <v>247</v>
      </c>
      <c r="B11" s="11" t="s">
        <v>248</v>
      </c>
      <c r="C11" s="11" t="s">
        <v>249</v>
      </c>
      <c r="D11" s="22" t="s">
        <v>227</v>
      </c>
      <c r="E11" s="22" t="s">
        <v>227</v>
      </c>
      <c r="F11" s="22" t="s">
        <v>227</v>
      </c>
      <c r="G11" s="22" t="s">
        <v>227</v>
      </c>
      <c r="H11" s="23" t="s">
        <v>233</v>
      </c>
      <c r="I11" s="11" t="s">
        <v>56</v>
      </c>
      <c r="J11" s="11" t="s">
        <v>250</v>
      </c>
    </row>
    <row r="12" spans="1:11" ht="48" customHeight="1" x14ac:dyDescent="0.2">
      <c r="A12" s="12" t="s">
        <v>251</v>
      </c>
      <c r="B12" s="11" t="s">
        <v>252</v>
      </c>
      <c r="C12" s="11" t="s">
        <v>253</v>
      </c>
      <c r="D12" s="22" t="s">
        <v>227</v>
      </c>
      <c r="E12" s="22" t="s">
        <v>227</v>
      </c>
      <c r="F12" s="22" t="s">
        <v>227</v>
      </c>
      <c r="G12" s="22" t="s">
        <v>227</v>
      </c>
      <c r="H12" s="23" t="s">
        <v>233</v>
      </c>
      <c r="I12" s="11" t="s">
        <v>254</v>
      </c>
      <c r="J12" s="11" t="s">
        <v>255</v>
      </c>
    </row>
    <row r="13" spans="1:11" ht="48" customHeight="1" x14ac:dyDescent="0.2">
      <c r="A13" s="12" t="s">
        <v>256</v>
      </c>
      <c r="B13" s="11" t="s">
        <v>257</v>
      </c>
      <c r="C13" s="11" t="s">
        <v>258</v>
      </c>
      <c r="D13" s="22" t="s">
        <v>227</v>
      </c>
      <c r="E13" s="23" t="s">
        <v>233</v>
      </c>
      <c r="F13" s="22" t="s">
        <v>227</v>
      </c>
      <c r="G13" s="23" t="s">
        <v>233</v>
      </c>
      <c r="H13" s="23" t="s">
        <v>233</v>
      </c>
      <c r="I13" s="11" t="s">
        <v>259</v>
      </c>
      <c r="J13" s="11" t="s">
        <v>260</v>
      </c>
    </row>
    <row r="14" spans="1:11" ht="48" customHeight="1" x14ac:dyDescent="0.2">
      <c r="A14" s="12" t="s">
        <v>261</v>
      </c>
      <c r="B14" s="11" t="s">
        <v>257</v>
      </c>
      <c r="C14" s="11" t="s">
        <v>262</v>
      </c>
      <c r="D14" s="22" t="s">
        <v>227</v>
      </c>
      <c r="E14" s="23" t="s">
        <v>233</v>
      </c>
      <c r="F14" s="22" t="s">
        <v>227</v>
      </c>
      <c r="G14" s="23" t="s">
        <v>233</v>
      </c>
      <c r="H14" s="23" t="s">
        <v>233</v>
      </c>
      <c r="I14" s="11" t="s">
        <v>56</v>
      </c>
      <c r="J14" s="11" t="s">
        <v>263</v>
      </c>
    </row>
    <row r="15" spans="1:11" ht="48" customHeight="1" x14ac:dyDescent="0.2">
      <c r="A15" s="12" t="s">
        <v>264</v>
      </c>
      <c r="B15" s="11" t="s">
        <v>265</v>
      </c>
      <c r="C15" s="11" t="s">
        <v>266</v>
      </c>
      <c r="D15" s="21" t="s">
        <v>267</v>
      </c>
      <c r="E15" s="22" t="s">
        <v>227</v>
      </c>
      <c r="F15" s="21" t="s">
        <v>267</v>
      </c>
      <c r="G15" s="22" t="s">
        <v>227</v>
      </c>
      <c r="H15" s="23" t="s">
        <v>233</v>
      </c>
      <c r="I15" s="11" t="s">
        <v>268</v>
      </c>
      <c r="J15" s="11" t="s">
        <v>269</v>
      </c>
    </row>
    <row r="16" spans="1:11" ht="48" customHeight="1" x14ac:dyDescent="0.2">
      <c r="A16" s="12" t="s">
        <v>270</v>
      </c>
      <c r="B16" s="11" t="s">
        <v>271</v>
      </c>
      <c r="C16" s="11" t="s">
        <v>272</v>
      </c>
      <c r="D16" s="23" t="s">
        <v>233</v>
      </c>
      <c r="E16" s="23" t="s">
        <v>233</v>
      </c>
      <c r="F16" s="23" t="s">
        <v>233</v>
      </c>
      <c r="G16" s="23" t="s">
        <v>233</v>
      </c>
      <c r="H16" s="21" t="s">
        <v>273</v>
      </c>
      <c r="I16" s="11" t="s">
        <v>274</v>
      </c>
      <c r="J16" s="11" t="s">
        <v>275</v>
      </c>
    </row>
    <row r="19" spans="1:6" x14ac:dyDescent="0.2">
      <c r="A19" s="4" t="s">
        <v>276</v>
      </c>
    </row>
    <row r="20" spans="1:6" ht="16" x14ac:dyDescent="0.2">
      <c r="A20" s="10" t="s">
        <v>277</v>
      </c>
      <c r="B20" s="10" t="s">
        <v>278</v>
      </c>
      <c r="C20" s="10" t="s">
        <v>279</v>
      </c>
      <c r="D20" s="10" t="s">
        <v>280</v>
      </c>
      <c r="E20" s="10" t="s">
        <v>281</v>
      </c>
      <c r="F20" s="10" t="s">
        <v>216</v>
      </c>
    </row>
    <row r="21" spans="1:6" ht="45" customHeight="1" x14ac:dyDescent="0.2">
      <c r="A21" s="12" t="s">
        <v>282</v>
      </c>
      <c r="B21" s="11">
        <v>439</v>
      </c>
      <c r="C21" s="11" t="s">
        <v>283</v>
      </c>
      <c r="D21" s="11" t="s">
        <v>284</v>
      </c>
      <c r="E21" s="11" t="s">
        <v>285</v>
      </c>
      <c r="F21" s="11" t="s">
        <v>286</v>
      </c>
    </row>
    <row r="22" spans="1:6" ht="45" customHeight="1" x14ac:dyDescent="0.2">
      <c r="A22" s="12" t="s">
        <v>287</v>
      </c>
      <c r="B22" s="11">
        <v>220</v>
      </c>
      <c r="C22" s="11" t="s">
        <v>288</v>
      </c>
      <c r="D22" s="11" t="s">
        <v>289</v>
      </c>
      <c r="E22" s="11" t="s">
        <v>290</v>
      </c>
      <c r="F22" s="11" t="s">
        <v>291</v>
      </c>
    </row>
    <row r="23" spans="1:6" ht="45" customHeight="1" x14ac:dyDescent="0.2">
      <c r="A23" s="12" t="s">
        <v>292</v>
      </c>
      <c r="B23" s="11">
        <v>11173</v>
      </c>
      <c r="C23" s="11" t="s">
        <v>293</v>
      </c>
      <c r="D23" s="11" t="s">
        <v>294</v>
      </c>
      <c r="E23" s="11" t="s">
        <v>290</v>
      </c>
      <c r="F23" s="11" t="s">
        <v>295</v>
      </c>
    </row>
    <row r="24" spans="1:6" ht="45" customHeight="1" x14ac:dyDescent="0.2">
      <c r="A24" s="12" t="s">
        <v>296</v>
      </c>
      <c r="B24" s="11">
        <v>12</v>
      </c>
      <c r="C24" s="11" t="s">
        <v>297</v>
      </c>
      <c r="D24" s="11" t="s">
        <v>284</v>
      </c>
      <c r="E24" s="11" t="s">
        <v>298</v>
      </c>
      <c r="F24" s="11" t="s">
        <v>299</v>
      </c>
    </row>
    <row r="25" spans="1:6" ht="45" customHeight="1" x14ac:dyDescent="0.2">
      <c r="A25" s="12" t="s">
        <v>300</v>
      </c>
      <c r="B25" s="11">
        <v>0</v>
      </c>
      <c r="C25" s="11" t="s">
        <v>301</v>
      </c>
      <c r="D25" s="11" t="s">
        <v>233</v>
      </c>
      <c r="E25" s="11" t="s">
        <v>233</v>
      </c>
      <c r="F25" s="11" t="s">
        <v>302</v>
      </c>
    </row>
  </sheetData>
  <mergeCells count="1">
    <mergeCell ref="A2:K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
  <sheetViews>
    <sheetView workbookViewId="0">
      <pane ySplit="3" topLeftCell="A4" activePane="bottomLeft" state="frozen"/>
      <selection pane="bottomLeft" activeCell="A4" sqref="A4"/>
    </sheetView>
  </sheetViews>
  <sheetFormatPr baseColWidth="10" defaultColWidth="8.83203125" defaultRowHeight="15" x14ac:dyDescent="0.2"/>
  <cols>
    <col min="1" max="1" width="26" customWidth="1"/>
    <col min="2" max="2" width="50" customWidth="1"/>
    <col min="3" max="3" width="46" customWidth="1"/>
    <col min="4" max="4" width="22" customWidth="1"/>
    <col min="5" max="5" width="46" customWidth="1"/>
    <col min="6" max="6" width="10" customWidth="1"/>
  </cols>
  <sheetData>
    <row r="1" spans="1:6" ht="19" x14ac:dyDescent="0.25">
      <c r="A1" s="1" t="s">
        <v>303</v>
      </c>
    </row>
    <row r="3" spans="1:6" ht="16" x14ac:dyDescent="0.2">
      <c r="A3" s="10" t="s">
        <v>304</v>
      </c>
      <c r="B3" s="10" t="s">
        <v>305</v>
      </c>
      <c r="C3" s="10" t="s">
        <v>306</v>
      </c>
      <c r="D3" s="10" t="s">
        <v>307</v>
      </c>
      <c r="E3" s="10" t="s">
        <v>308</v>
      </c>
      <c r="F3" s="10" t="s">
        <v>309</v>
      </c>
    </row>
    <row r="4" spans="1:6" ht="60" customHeight="1" x14ac:dyDescent="0.2">
      <c r="A4" s="11" t="s">
        <v>310</v>
      </c>
      <c r="B4" s="11" t="s">
        <v>311</v>
      </c>
      <c r="C4" s="11" t="s">
        <v>312</v>
      </c>
      <c r="D4" s="11" t="s">
        <v>313</v>
      </c>
      <c r="E4" s="11" t="s">
        <v>314</v>
      </c>
      <c r="F4" s="11" t="s">
        <v>315</v>
      </c>
    </row>
    <row r="5" spans="1:6" ht="60" customHeight="1" x14ac:dyDescent="0.2">
      <c r="A5" s="11" t="s">
        <v>316</v>
      </c>
      <c r="B5" s="11" t="s">
        <v>317</v>
      </c>
      <c r="C5" s="11" t="s">
        <v>318</v>
      </c>
      <c r="D5" s="11" t="s">
        <v>319</v>
      </c>
      <c r="E5" s="11" t="s">
        <v>320</v>
      </c>
      <c r="F5" s="11" t="s">
        <v>315</v>
      </c>
    </row>
    <row r="6" spans="1:6" ht="60" customHeight="1" x14ac:dyDescent="0.2">
      <c r="A6" s="11" t="s">
        <v>321</v>
      </c>
      <c r="B6" s="11" t="s">
        <v>322</v>
      </c>
      <c r="C6" s="11" t="s">
        <v>323</v>
      </c>
      <c r="D6" s="11" t="s">
        <v>324</v>
      </c>
      <c r="E6" s="11" t="s">
        <v>325</v>
      </c>
      <c r="F6" s="11" t="s">
        <v>326</v>
      </c>
    </row>
    <row r="7" spans="1:6" ht="60" customHeight="1" x14ac:dyDescent="0.2">
      <c r="A7" s="11" t="s">
        <v>327</v>
      </c>
      <c r="B7" s="11" t="s">
        <v>328</v>
      </c>
      <c r="C7" s="11" t="s">
        <v>329</v>
      </c>
      <c r="D7" s="11" t="s">
        <v>330</v>
      </c>
      <c r="E7" s="11" t="s">
        <v>331</v>
      </c>
      <c r="F7" s="11" t="s">
        <v>326</v>
      </c>
    </row>
    <row r="8" spans="1:6" ht="60" customHeight="1" x14ac:dyDescent="0.2">
      <c r="A8" s="11" t="s">
        <v>332</v>
      </c>
      <c r="B8" s="11" t="s">
        <v>333</v>
      </c>
      <c r="C8" s="11" t="s">
        <v>334</v>
      </c>
      <c r="D8" s="11" t="s">
        <v>335</v>
      </c>
      <c r="E8" s="11" t="s">
        <v>336</v>
      </c>
      <c r="F8" s="11" t="s">
        <v>326</v>
      </c>
    </row>
    <row r="9" spans="1:6" ht="60" customHeight="1" x14ac:dyDescent="0.2">
      <c r="A9" s="11" t="s">
        <v>337</v>
      </c>
      <c r="B9" s="11" t="s">
        <v>338</v>
      </c>
      <c r="C9" s="11" t="s">
        <v>339</v>
      </c>
      <c r="D9" s="11" t="s">
        <v>340</v>
      </c>
      <c r="E9" s="11" t="s">
        <v>341</v>
      </c>
      <c r="F9" s="11" t="s">
        <v>342</v>
      </c>
    </row>
    <row r="10" spans="1:6" ht="60" customHeight="1" x14ac:dyDescent="0.2">
      <c r="A10" s="11" t="s">
        <v>343</v>
      </c>
      <c r="B10" s="11" t="s">
        <v>344</v>
      </c>
      <c r="C10" s="11" t="s">
        <v>345</v>
      </c>
      <c r="D10" s="11" t="s">
        <v>346</v>
      </c>
      <c r="E10" s="11" t="s">
        <v>347</v>
      </c>
      <c r="F10" s="11" t="s">
        <v>342</v>
      </c>
    </row>
    <row r="11" spans="1:6" ht="60" customHeight="1" x14ac:dyDescent="0.2">
      <c r="A11" s="11" t="s">
        <v>348</v>
      </c>
      <c r="B11" s="11" t="s">
        <v>349</v>
      </c>
      <c r="C11" s="11" t="s">
        <v>350</v>
      </c>
      <c r="D11" s="11" t="s">
        <v>351</v>
      </c>
      <c r="E11" s="11" t="s">
        <v>352</v>
      </c>
      <c r="F11" s="11" t="s">
        <v>342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7"/>
  <sheetViews>
    <sheetView workbookViewId="0">
      <pane ySplit="4" topLeftCell="A5" activePane="bottomLeft" state="frozen"/>
      <selection pane="bottomLeft" activeCell="D1" sqref="D1"/>
    </sheetView>
  </sheetViews>
  <sheetFormatPr baseColWidth="10" defaultColWidth="8.83203125" defaultRowHeight="15" x14ac:dyDescent="0.2"/>
  <cols>
    <col min="1" max="1" width="24" customWidth="1"/>
    <col min="2" max="3" width="20" customWidth="1"/>
    <col min="4" max="4" width="70" customWidth="1"/>
    <col min="5" max="5" width="55" customWidth="1"/>
  </cols>
  <sheetData>
    <row r="1" spans="1:6" ht="19" x14ac:dyDescent="0.25">
      <c r="A1" s="1" t="s">
        <v>353</v>
      </c>
    </row>
    <row r="2" spans="1:6" ht="45" customHeight="1" x14ac:dyDescent="0.2">
      <c r="A2" s="37" t="s">
        <v>354</v>
      </c>
      <c r="B2" s="38"/>
      <c r="C2" s="38"/>
      <c r="D2" s="38"/>
      <c r="E2" s="38"/>
      <c r="F2" s="38"/>
    </row>
    <row r="4" spans="1:6" ht="16" x14ac:dyDescent="0.2">
      <c r="A4" s="10" t="s">
        <v>355</v>
      </c>
      <c r="B4" s="10" t="s">
        <v>356</v>
      </c>
      <c r="C4" s="10" t="s">
        <v>357</v>
      </c>
      <c r="D4" s="10" t="s">
        <v>358</v>
      </c>
      <c r="E4" s="10" t="s">
        <v>359</v>
      </c>
    </row>
    <row r="5" spans="1:6" ht="32" x14ac:dyDescent="0.2">
      <c r="A5" s="12" t="s">
        <v>360</v>
      </c>
      <c r="B5" s="24">
        <v>0.2</v>
      </c>
      <c r="C5" s="11" t="s">
        <v>361</v>
      </c>
      <c r="D5" s="11" t="s">
        <v>362</v>
      </c>
      <c r="E5" s="11" t="s">
        <v>363</v>
      </c>
    </row>
    <row r="6" spans="1:6" ht="32" x14ac:dyDescent="0.2">
      <c r="A6" s="12" t="s">
        <v>364</v>
      </c>
      <c r="B6" s="25">
        <v>-31.98133</v>
      </c>
      <c r="C6" s="11" t="s">
        <v>365</v>
      </c>
      <c r="D6" s="11" t="s">
        <v>366</v>
      </c>
      <c r="E6" s="11" t="s">
        <v>367</v>
      </c>
    </row>
    <row r="7" spans="1:6" ht="16" x14ac:dyDescent="0.2">
      <c r="A7" s="12" t="s">
        <v>368</v>
      </c>
      <c r="B7" s="25">
        <v>115.81596999999999</v>
      </c>
      <c r="C7" s="11" t="s">
        <v>365</v>
      </c>
      <c r="D7" s="11" t="s">
        <v>369</v>
      </c>
      <c r="E7" s="11" t="s">
        <v>370</v>
      </c>
    </row>
    <row r="8" spans="1:6" ht="32" x14ac:dyDescent="0.2">
      <c r="A8" s="12" t="s">
        <v>371</v>
      </c>
      <c r="B8" s="26">
        <v>30</v>
      </c>
      <c r="C8" s="11" t="s">
        <v>372</v>
      </c>
      <c r="D8" s="11" t="s">
        <v>373</v>
      </c>
      <c r="E8" s="11" t="s">
        <v>374</v>
      </c>
    </row>
    <row r="9" spans="1:6" ht="32" x14ac:dyDescent="0.2">
      <c r="A9" s="12" t="s">
        <v>375</v>
      </c>
      <c r="B9" s="26">
        <v>30</v>
      </c>
      <c r="C9" s="11" t="s">
        <v>376</v>
      </c>
      <c r="D9" s="11" t="s">
        <v>377</v>
      </c>
      <c r="E9" s="11" t="s">
        <v>378</v>
      </c>
    </row>
    <row r="10" spans="1:6" ht="48" x14ac:dyDescent="0.2">
      <c r="A10" s="12" t="s">
        <v>379</v>
      </c>
      <c r="B10" s="26">
        <v>10</v>
      </c>
      <c r="C10" s="11" t="s">
        <v>376</v>
      </c>
      <c r="D10" s="11" t="s">
        <v>380</v>
      </c>
      <c r="E10" s="11" t="s">
        <v>381</v>
      </c>
    </row>
    <row r="11" spans="1:6" ht="48" x14ac:dyDescent="0.2">
      <c r="A11" s="12" t="s">
        <v>382</v>
      </c>
      <c r="B11" s="26">
        <v>300</v>
      </c>
      <c r="C11" s="11" t="s">
        <v>376</v>
      </c>
      <c r="D11" s="11" t="s">
        <v>383</v>
      </c>
      <c r="E11" s="11" t="s">
        <v>384</v>
      </c>
    </row>
    <row r="12" spans="1:6" ht="32" x14ac:dyDescent="0.2">
      <c r="A12" s="12" t="s">
        <v>385</v>
      </c>
      <c r="B12" s="27">
        <v>0.33333333333333331</v>
      </c>
      <c r="C12" s="11" t="s">
        <v>386</v>
      </c>
      <c r="D12" s="11" t="s">
        <v>387</v>
      </c>
      <c r="E12" s="11" t="s">
        <v>388</v>
      </c>
    </row>
    <row r="13" spans="1:6" ht="16" x14ac:dyDescent="0.2">
      <c r="A13" s="12" t="s">
        <v>389</v>
      </c>
      <c r="B13" s="27">
        <v>0.75</v>
      </c>
      <c r="C13" s="11" t="s">
        <v>386</v>
      </c>
      <c r="D13" s="11" t="s">
        <v>390</v>
      </c>
      <c r="E13" s="11" t="s">
        <v>374</v>
      </c>
    </row>
    <row r="14" spans="1:6" ht="16" x14ac:dyDescent="0.2">
      <c r="A14" s="12" t="s">
        <v>391</v>
      </c>
      <c r="B14" s="26">
        <v>5</v>
      </c>
      <c r="C14" s="11" t="s">
        <v>392</v>
      </c>
      <c r="D14" s="11" t="s">
        <v>393</v>
      </c>
      <c r="E14" s="11" t="s">
        <v>374</v>
      </c>
    </row>
    <row r="15" spans="1:6" ht="32" x14ac:dyDescent="0.2">
      <c r="A15" s="12" t="s">
        <v>394</v>
      </c>
      <c r="B15" s="26">
        <v>8</v>
      </c>
      <c r="C15" s="11" t="s">
        <v>395</v>
      </c>
      <c r="D15" s="11" t="s">
        <v>396</v>
      </c>
      <c r="E15" s="11" t="s">
        <v>397</v>
      </c>
    </row>
    <row r="16" spans="1:6" ht="48" x14ac:dyDescent="0.2">
      <c r="A16" s="12" t="s">
        <v>398</v>
      </c>
      <c r="B16" s="28"/>
      <c r="C16" s="11" t="s">
        <v>399</v>
      </c>
      <c r="D16" s="11" t="s">
        <v>400</v>
      </c>
      <c r="E16" s="11" t="s">
        <v>401</v>
      </c>
    </row>
    <row r="17" spans="1:5" ht="16" x14ac:dyDescent="0.2">
      <c r="A17" s="12" t="s">
        <v>402</v>
      </c>
      <c r="B17" s="28"/>
      <c r="C17" s="11" t="s">
        <v>399</v>
      </c>
      <c r="D17" s="11" t="s">
        <v>403</v>
      </c>
      <c r="E17" s="11" t="s">
        <v>404</v>
      </c>
    </row>
  </sheetData>
  <mergeCells count="1">
    <mergeCell ref="A2:F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440"/>
  <sheetViews>
    <sheetView zoomScale="88" workbookViewId="0">
      <pane xSplit="1" ySplit="1" topLeftCell="B2" activePane="bottomRight" state="frozen"/>
      <selection pane="topRight"/>
      <selection pane="bottomLeft"/>
      <selection pane="bottomRight" activeCell="S2" sqref="S2"/>
    </sheetView>
  </sheetViews>
  <sheetFormatPr baseColWidth="10" defaultColWidth="8.83203125" defaultRowHeight="15" x14ac:dyDescent="0.2"/>
  <cols>
    <col min="1" max="1" width="28" customWidth="1"/>
    <col min="2" max="3" width="22" customWidth="1"/>
    <col min="4" max="5" width="14" customWidth="1"/>
    <col min="6" max="7" width="10" customWidth="1"/>
    <col min="8" max="8" width="9" customWidth="1"/>
    <col min="9" max="9" width="13" customWidth="1"/>
    <col min="10" max="11" width="10" customWidth="1"/>
    <col min="12" max="13" width="9" customWidth="1"/>
    <col min="14" max="14" width="7" customWidth="1"/>
    <col min="15" max="15" width="8" customWidth="1"/>
    <col min="16" max="16" width="9" customWidth="1"/>
    <col min="17" max="17" width="10" customWidth="1"/>
    <col min="18" max="18" width="9" customWidth="1"/>
    <col min="19" max="19" width="8" customWidth="1"/>
    <col min="21" max="21" width="14" customWidth="1"/>
    <col min="22" max="22" width="80" customWidth="1"/>
  </cols>
  <sheetData>
    <row r="1" spans="1:22" ht="16" x14ac:dyDescent="0.2">
      <c r="A1" s="10" t="s">
        <v>405</v>
      </c>
      <c r="B1" s="10" t="s">
        <v>406</v>
      </c>
      <c r="C1" s="10" t="s">
        <v>407</v>
      </c>
      <c r="D1" s="10" t="s">
        <v>236</v>
      </c>
      <c r="E1" s="10" t="s">
        <v>241</v>
      </c>
      <c r="F1" s="10" t="s">
        <v>251</v>
      </c>
      <c r="G1" s="10" t="s">
        <v>256</v>
      </c>
      <c r="H1" s="10" t="s">
        <v>408</v>
      </c>
      <c r="I1" s="10" t="s">
        <v>409</v>
      </c>
      <c r="J1" s="10" t="s">
        <v>410</v>
      </c>
      <c r="K1" s="10" t="s">
        <v>411</v>
      </c>
      <c r="L1" s="10" t="s">
        <v>412</v>
      </c>
      <c r="M1" s="10" t="s">
        <v>413</v>
      </c>
      <c r="N1" s="10" t="s">
        <v>414</v>
      </c>
      <c r="O1" s="10" t="s">
        <v>415</v>
      </c>
      <c r="P1" s="10" t="s">
        <v>416</v>
      </c>
      <c r="Q1" s="10" t="s">
        <v>417</v>
      </c>
      <c r="R1" s="10" t="s">
        <v>418</v>
      </c>
      <c r="S1" s="10" t="s">
        <v>419</v>
      </c>
      <c r="U1" s="4" t="s">
        <v>420</v>
      </c>
    </row>
    <row r="2" spans="1:22" ht="16" x14ac:dyDescent="0.2">
      <c r="A2" t="s">
        <v>421</v>
      </c>
      <c r="B2" s="29">
        <f t="shared" ref="B2:B65" si="0">DATE(VALUE(LEFT(A2,4)),VALUE(MID(A2,6,2)),VALUE(MID(A2,9,2)))+TIME(VALUE(MID(A2,12,2)),VALUE(MID(A2,15,2)),VALUE(MID(A2,18,2)))+IFERROR(VALUE(MID(A2,21,6)),0)/86400000000</f>
        <v>45904.348038020682</v>
      </c>
      <c r="C2" s="29">
        <f t="shared" ref="C2:C65" si="1">B2+UTC_OFFSET_H/24</f>
        <v>45904.681371354018</v>
      </c>
      <c r="D2">
        <v>-31.981331095000002</v>
      </c>
      <c r="E2">
        <v>115.81597201</v>
      </c>
      <c r="F2">
        <v>0</v>
      </c>
      <c r="G2">
        <v>0</v>
      </c>
      <c r="H2" s="30">
        <f t="shared" ref="H2:H65" si="2">(B3-B2)*86400</f>
        <v>5.0071073463186622</v>
      </c>
      <c r="I2" s="31">
        <f t="shared" ref="I2:I65" si="3">2*6371000*ASIN(SQRT(SIN((RADIANS(D2)-RADIANS(DEPOT_LAT))/2)^2+COS(RADIANS(DEPOT_LAT))*COS(RADIANS(D2))*SIN((RADIANS(E2)-RADIANS(DEPOT_LON))/2)^2))</f>
        <v>0.2253114806985399</v>
      </c>
      <c r="J2" t="b">
        <f t="shared" ref="J2:J65" si="4">AND(WEEKDAY(C2,2)&lt;=SERVICE_LAST_WEEKDAY,MOD(C2,1)&gt;=SERVICE_START,MOD(C2,1)&lt;SERVICE_END)</f>
        <v>1</v>
      </c>
      <c r="K2" t="b">
        <f t="shared" ref="K2:K65" si="5">F2&lt;SPEED_STOP_MPS</f>
        <v>1</v>
      </c>
      <c r="L2" t="b">
        <f t="shared" ref="L2:L65" si="6">I2&lt;=DEPOT_RADIUS_M</f>
        <v>1</v>
      </c>
      <c r="M2" t="b">
        <f t="shared" ref="M2:M65" si="7">G2&gt;=0</f>
        <v>1</v>
      </c>
      <c r="N2" t="b">
        <f t="shared" ref="N2:N65" si="8">H2&gt;MAX_GAP_S</f>
        <v>0</v>
      </c>
      <c r="O2">
        <v>1</v>
      </c>
      <c r="P2" s="31">
        <f t="shared" ref="P2:P65" si="9">SUMIFS($H$2:$H$440,$O$2:$O$440,O2)</f>
        <v>41.184775228612125</v>
      </c>
      <c r="Q2" t="str">
        <f t="shared" ref="Q2:Q65" si="10">IF(NOT(J2),"UT",IF(N2,IF(L2,"SB","OD"),IF(AND(K2,L2,P2&gt;=STANDBY_DWELL_S),"SB",IF(AND(K2,NOT(M2)),"OD",IF(AND(K2,NOT(L2),P2&gt;=DELAY_DWELL_S),"OD","WT")))))</f>
        <v>SB</v>
      </c>
      <c r="R2" s="32"/>
      <c r="S2" t="str">
        <f t="shared" ref="S2:S65" si="11">IF(R2&lt;&gt;"",R2,Q2)</f>
        <v>SB</v>
      </c>
      <c r="U2" s="5" t="s">
        <v>406</v>
      </c>
      <c r="V2" s="3" t="s">
        <v>422</v>
      </c>
    </row>
    <row r="3" spans="1:22" ht="16" x14ac:dyDescent="0.2">
      <c r="A3" t="s">
        <v>423</v>
      </c>
      <c r="B3" s="29">
        <f t="shared" si="0"/>
        <v>45904.348095973313</v>
      </c>
      <c r="C3" s="29">
        <f t="shared" si="1"/>
        <v>45904.681429306649</v>
      </c>
      <c r="D3">
        <v>-31.981327941</v>
      </c>
      <c r="E3">
        <v>115.815977201</v>
      </c>
      <c r="F3">
        <v>0.12</v>
      </c>
      <c r="G3">
        <v>0</v>
      </c>
      <c r="H3" s="30">
        <f t="shared" si="2"/>
        <v>5.1935942145064473</v>
      </c>
      <c r="I3" s="31">
        <f t="shared" si="3"/>
        <v>0.7167339261313912</v>
      </c>
      <c r="J3" t="b">
        <f t="shared" si="4"/>
        <v>1</v>
      </c>
      <c r="K3" t="b">
        <f t="shared" si="5"/>
        <v>1</v>
      </c>
      <c r="L3" t="b">
        <f t="shared" si="6"/>
        <v>1</v>
      </c>
      <c r="M3" t="b">
        <f t="shared" si="7"/>
        <v>1</v>
      </c>
      <c r="N3" t="b">
        <f t="shared" si="8"/>
        <v>0</v>
      </c>
      <c r="O3">
        <f t="shared" ref="O3:O66" si="12">IF(AND(K3=K2,L3=L2),O2,O2+1)</f>
        <v>1</v>
      </c>
      <c r="P3" s="31">
        <f t="shared" si="9"/>
        <v>41.184775228612125</v>
      </c>
      <c r="Q3" t="str">
        <f t="shared" si="10"/>
        <v>SB</v>
      </c>
      <c r="R3" s="32"/>
      <c r="S3" t="str">
        <f t="shared" si="11"/>
        <v>SB</v>
      </c>
      <c r="U3" s="5" t="s">
        <v>407</v>
      </c>
      <c r="V3" s="3" t="s">
        <v>424</v>
      </c>
    </row>
    <row r="4" spans="1:22" ht="16" x14ac:dyDescent="0.2">
      <c r="A4" t="s">
        <v>425</v>
      </c>
      <c r="B4" s="29">
        <f t="shared" si="0"/>
        <v>45904.348156084357</v>
      </c>
      <c r="C4" s="29">
        <f t="shared" si="1"/>
        <v>45904.681489417693</v>
      </c>
      <c r="D4">
        <v>-31.981325252000001</v>
      </c>
      <c r="E4">
        <v>115.815982854</v>
      </c>
      <c r="F4">
        <v>0.11799999999999999</v>
      </c>
      <c r="G4">
        <v>0</v>
      </c>
      <c r="H4" s="30">
        <f t="shared" si="2"/>
        <v>5.0060298526659608</v>
      </c>
      <c r="I4" s="31">
        <f t="shared" si="3"/>
        <v>1.3223295663719346</v>
      </c>
      <c r="J4" t="b">
        <f t="shared" si="4"/>
        <v>1</v>
      </c>
      <c r="K4" t="b">
        <f t="shared" si="5"/>
        <v>1</v>
      </c>
      <c r="L4" t="b">
        <f t="shared" si="6"/>
        <v>1</v>
      </c>
      <c r="M4" t="b">
        <f t="shared" si="7"/>
        <v>1</v>
      </c>
      <c r="N4" t="b">
        <f t="shared" si="8"/>
        <v>0</v>
      </c>
      <c r="O4">
        <f t="shared" si="12"/>
        <v>1</v>
      </c>
      <c r="P4" s="31">
        <f t="shared" si="9"/>
        <v>41.184775228612125</v>
      </c>
      <c r="Q4" t="str">
        <f t="shared" si="10"/>
        <v>SB</v>
      </c>
      <c r="R4" s="32"/>
      <c r="S4" t="str">
        <f t="shared" si="11"/>
        <v>SB</v>
      </c>
      <c r="U4" s="5" t="s">
        <v>408</v>
      </c>
      <c r="V4" s="3" t="s">
        <v>426</v>
      </c>
    </row>
    <row r="5" spans="1:22" ht="16" x14ac:dyDescent="0.2">
      <c r="A5" t="s">
        <v>427</v>
      </c>
      <c r="B5" s="29">
        <f t="shared" si="0"/>
        <v>45904.348214024518</v>
      </c>
      <c r="C5" s="29">
        <f t="shared" si="1"/>
        <v>45904.681547357854</v>
      </c>
      <c r="D5">
        <v>-31.981322460000001</v>
      </c>
      <c r="E5">
        <v>115.81598644899999</v>
      </c>
      <c r="F5">
        <v>9.1999999999999998E-2</v>
      </c>
      <c r="G5">
        <v>0</v>
      </c>
      <c r="H5" s="30">
        <f t="shared" si="2"/>
        <v>5.1901385653764009</v>
      </c>
      <c r="I5" s="31">
        <f t="shared" si="3"/>
        <v>1.763484931321035</v>
      </c>
      <c r="J5" t="b">
        <f t="shared" si="4"/>
        <v>1</v>
      </c>
      <c r="K5" t="b">
        <f t="shared" si="5"/>
        <v>1</v>
      </c>
      <c r="L5" t="b">
        <f t="shared" si="6"/>
        <v>1</v>
      </c>
      <c r="M5" t="b">
        <f t="shared" si="7"/>
        <v>1</v>
      </c>
      <c r="N5" t="b">
        <f t="shared" si="8"/>
        <v>0</v>
      </c>
      <c r="O5">
        <f t="shared" si="12"/>
        <v>1</v>
      </c>
      <c r="P5" s="31">
        <f t="shared" si="9"/>
        <v>41.184775228612125</v>
      </c>
      <c r="Q5" t="str">
        <f t="shared" si="10"/>
        <v>SB</v>
      </c>
      <c r="R5" s="32"/>
      <c r="S5" t="str">
        <f t="shared" si="11"/>
        <v>SB</v>
      </c>
      <c r="U5" s="5" t="s">
        <v>409</v>
      </c>
      <c r="V5" s="3" t="s">
        <v>428</v>
      </c>
    </row>
    <row r="6" spans="1:22" ht="16" x14ac:dyDescent="0.2">
      <c r="A6" t="s">
        <v>429</v>
      </c>
      <c r="B6" s="29">
        <f t="shared" si="0"/>
        <v>45904.348274095566</v>
      </c>
      <c r="C6" s="29">
        <f t="shared" si="1"/>
        <v>45904.681607428902</v>
      </c>
      <c r="D6">
        <v>-31.981319514999999</v>
      </c>
      <c r="E6">
        <v>115.815989582</v>
      </c>
      <c r="F6">
        <v>8.5000000000000006E-2</v>
      </c>
      <c r="G6">
        <v>0</v>
      </c>
      <c r="H6" s="30">
        <f t="shared" si="2"/>
        <v>5.1932384027168155</v>
      </c>
      <c r="I6" s="31">
        <f t="shared" si="3"/>
        <v>2.1841317478329314</v>
      </c>
      <c r="J6" t="b">
        <f t="shared" si="4"/>
        <v>1</v>
      </c>
      <c r="K6" t="b">
        <f t="shared" si="5"/>
        <v>1</v>
      </c>
      <c r="L6" t="b">
        <f t="shared" si="6"/>
        <v>1</v>
      </c>
      <c r="M6" t="b">
        <f t="shared" si="7"/>
        <v>1</v>
      </c>
      <c r="N6" t="b">
        <f t="shared" si="8"/>
        <v>0</v>
      </c>
      <c r="O6">
        <f t="shared" si="12"/>
        <v>1</v>
      </c>
      <c r="P6" s="31">
        <f t="shared" si="9"/>
        <v>41.184775228612125</v>
      </c>
      <c r="Q6" t="str">
        <f t="shared" si="10"/>
        <v>SB</v>
      </c>
      <c r="R6" s="32"/>
      <c r="S6" t="str">
        <f t="shared" si="11"/>
        <v>SB</v>
      </c>
      <c r="U6" s="5" t="s">
        <v>410</v>
      </c>
      <c r="V6" s="3" t="s">
        <v>430</v>
      </c>
    </row>
    <row r="7" spans="1:22" ht="16" x14ac:dyDescent="0.2">
      <c r="A7" t="s">
        <v>431</v>
      </c>
      <c r="B7" s="29">
        <f t="shared" si="0"/>
        <v>45904.348334202492</v>
      </c>
      <c r="C7" s="29">
        <f t="shared" si="1"/>
        <v>45904.681667535828</v>
      </c>
      <c r="D7">
        <v>-31.981317755999999</v>
      </c>
      <c r="E7">
        <v>115.815992245</v>
      </c>
      <c r="F7">
        <v>6.0999999999999999E-2</v>
      </c>
      <c r="G7">
        <v>0</v>
      </c>
      <c r="H7" s="30">
        <f t="shared" si="2"/>
        <v>5.2206849446520209</v>
      </c>
      <c r="I7" s="31">
        <f t="shared" si="3"/>
        <v>2.5011253939478282</v>
      </c>
      <c r="J7" t="b">
        <f t="shared" si="4"/>
        <v>1</v>
      </c>
      <c r="K7" t="b">
        <f t="shared" si="5"/>
        <v>1</v>
      </c>
      <c r="L7" t="b">
        <f t="shared" si="6"/>
        <v>1</v>
      </c>
      <c r="M7" t="b">
        <f t="shared" si="7"/>
        <v>1</v>
      </c>
      <c r="N7" t="b">
        <f t="shared" si="8"/>
        <v>0</v>
      </c>
      <c r="O7">
        <f t="shared" si="12"/>
        <v>1</v>
      </c>
      <c r="P7" s="31">
        <f t="shared" si="9"/>
        <v>41.184775228612125</v>
      </c>
      <c r="Q7" t="str">
        <f t="shared" si="10"/>
        <v>SB</v>
      </c>
      <c r="R7" s="32"/>
      <c r="S7" t="str">
        <f t="shared" si="11"/>
        <v>SB</v>
      </c>
      <c r="U7" s="5" t="s">
        <v>411</v>
      </c>
      <c r="V7" s="3" t="s">
        <v>432</v>
      </c>
    </row>
    <row r="8" spans="1:22" ht="16" x14ac:dyDescent="0.2">
      <c r="A8" t="s">
        <v>433</v>
      </c>
      <c r="B8" s="29">
        <f t="shared" si="0"/>
        <v>45904.348394627086</v>
      </c>
      <c r="C8" s="29">
        <f t="shared" si="1"/>
        <v>45904.681727960422</v>
      </c>
      <c r="D8">
        <v>-31.981315798000001</v>
      </c>
      <c r="E8">
        <v>115.81599478</v>
      </c>
      <c r="F8">
        <v>6.2E-2</v>
      </c>
      <c r="G8">
        <v>0</v>
      </c>
      <c r="H8" s="30">
        <f t="shared" si="2"/>
        <v>5.1904088817536831</v>
      </c>
      <c r="I8" s="31">
        <f t="shared" si="3"/>
        <v>2.820696487348394</v>
      </c>
      <c r="J8" t="b">
        <f t="shared" si="4"/>
        <v>1</v>
      </c>
      <c r="K8" t="b">
        <f t="shared" si="5"/>
        <v>1</v>
      </c>
      <c r="L8" t="b">
        <f t="shared" si="6"/>
        <v>1</v>
      </c>
      <c r="M8" t="b">
        <f t="shared" si="7"/>
        <v>1</v>
      </c>
      <c r="N8" t="b">
        <f t="shared" si="8"/>
        <v>0</v>
      </c>
      <c r="O8">
        <f t="shared" si="12"/>
        <v>1</v>
      </c>
      <c r="P8" s="31">
        <f t="shared" si="9"/>
        <v>41.184775228612125</v>
      </c>
      <c r="Q8" t="str">
        <f t="shared" si="10"/>
        <v>SB</v>
      </c>
      <c r="R8" s="32"/>
      <c r="S8" t="str">
        <f t="shared" si="11"/>
        <v>SB</v>
      </c>
      <c r="U8" s="5" t="s">
        <v>412</v>
      </c>
      <c r="V8" s="3" t="s">
        <v>434</v>
      </c>
    </row>
    <row r="9" spans="1:22" ht="16" x14ac:dyDescent="0.2">
      <c r="A9" t="s">
        <v>435</v>
      </c>
      <c r="B9" s="29">
        <f t="shared" si="0"/>
        <v>45904.348454701263</v>
      </c>
      <c r="C9" s="29">
        <f t="shared" si="1"/>
        <v>45904.681788034599</v>
      </c>
      <c r="D9">
        <v>-31.981315910999999</v>
      </c>
      <c r="E9">
        <v>115.81600269</v>
      </c>
      <c r="F9">
        <v>0.14399999999999999</v>
      </c>
      <c r="G9">
        <v>0</v>
      </c>
      <c r="H9" s="30">
        <f t="shared" si="2"/>
        <v>5.1835730206221342</v>
      </c>
      <c r="I9" s="31">
        <f t="shared" si="3"/>
        <v>3.4584314945648802</v>
      </c>
      <c r="J9" t="b">
        <f t="shared" si="4"/>
        <v>1</v>
      </c>
      <c r="K9" t="b">
        <f t="shared" si="5"/>
        <v>1</v>
      </c>
      <c r="L9" t="b">
        <f t="shared" si="6"/>
        <v>1</v>
      </c>
      <c r="M9" t="b">
        <f t="shared" si="7"/>
        <v>1</v>
      </c>
      <c r="N9" t="b">
        <f t="shared" si="8"/>
        <v>0</v>
      </c>
      <c r="O9">
        <f t="shared" si="12"/>
        <v>1</v>
      </c>
      <c r="P9" s="31">
        <f t="shared" si="9"/>
        <v>41.184775228612125</v>
      </c>
      <c r="Q9" t="str">
        <f t="shared" si="10"/>
        <v>SB</v>
      </c>
      <c r="R9" s="32"/>
      <c r="S9" t="str">
        <f t="shared" si="11"/>
        <v>SB</v>
      </c>
      <c r="U9" s="5" t="s">
        <v>413</v>
      </c>
      <c r="V9" s="3" t="s">
        <v>436</v>
      </c>
    </row>
    <row r="10" spans="1:22" ht="16" x14ac:dyDescent="0.2">
      <c r="A10" t="s">
        <v>437</v>
      </c>
      <c r="B10" s="29">
        <f t="shared" si="0"/>
        <v>45904.348514696321</v>
      </c>
      <c r="C10" s="29">
        <f t="shared" si="1"/>
        <v>45904.681848029657</v>
      </c>
      <c r="D10">
        <v>-31.981317671999999</v>
      </c>
      <c r="E10">
        <v>115.816061193</v>
      </c>
      <c r="F10">
        <v>1.0649999999999999</v>
      </c>
      <c r="G10">
        <v>0</v>
      </c>
      <c r="H10" s="30">
        <f t="shared" si="2"/>
        <v>5.0057758809998631</v>
      </c>
      <c r="I10" s="31">
        <f t="shared" si="3"/>
        <v>8.709679511846586</v>
      </c>
      <c r="J10" t="b">
        <f t="shared" si="4"/>
        <v>1</v>
      </c>
      <c r="K10" t="b">
        <f t="shared" si="5"/>
        <v>0</v>
      </c>
      <c r="L10" t="b">
        <f t="shared" si="6"/>
        <v>1</v>
      </c>
      <c r="M10" t="b">
        <f t="shared" si="7"/>
        <v>1</v>
      </c>
      <c r="N10" t="b">
        <f t="shared" si="8"/>
        <v>0</v>
      </c>
      <c r="O10">
        <f t="shared" si="12"/>
        <v>2</v>
      </c>
      <c r="P10" s="31">
        <f t="shared" si="9"/>
        <v>20.619092672131956</v>
      </c>
      <c r="Q10" t="str">
        <f t="shared" si="10"/>
        <v>WT</v>
      </c>
      <c r="R10" s="32"/>
      <c r="S10" t="str">
        <f t="shared" si="11"/>
        <v>WT</v>
      </c>
      <c r="U10" s="5" t="s">
        <v>414</v>
      </c>
      <c r="V10" s="3" t="s">
        <v>438</v>
      </c>
    </row>
    <row r="11" spans="1:22" ht="16" x14ac:dyDescent="0.2">
      <c r="A11" t="s">
        <v>439</v>
      </c>
      <c r="B11" s="29">
        <f t="shared" si="0"/>
        <v>45904.348572633542</v>
      </c>
      <c r="C11" s="29">
        <f t="shared" si="1"/>
        <v>45904.681905966878</v>
      </c>
      <c r="D11">
        <v>-31.981315959</v>
      </c>
      <c r="E11">
        <v>115.81612722600001</v>
      </c>
      <c r="F11">
        <v>1.2450000000000001</v>
      </c>
      <c r="G11">
        <v>0</v>
      </c>
      <c r="H11" s="30">
        <f t="shared" si="2"/>
        <v>5.2014164160937071</v>
      </c>
      <c r="I11" s="31">
        <f t="shared" si="3"/>
        <v>14.911181345926229</v>
      </c>
      <c r="J11" t="b">
        <f t="shared" si="4"/>
        <v>1</v>
      </c>
      <c r="K11" t="b">
        <f t="shared" si="5"/>
        <v>0</v>
      </c>
      <c r="L11" t="b">
        <f t="shared" si="6"/>
        <v>1</v>
      </c>
      <c r="M11" t="b">
        <f t="shared" si="7"/>
        <v>1</v>
      </c>
      <c r="N11" t="b">
        <f t="shared" si="8"/>
        <v>0</v>
      </c>
      <c r="O11">
        <f t="shared" si="12"/>
        <v>2</v>
      </c>
      <c r="P11" s="31">
        <f t="shared" si="9"/>
        <v>20.619092672131956</v>
      </c>
      <c r="Q11" t="str">
        <f t="shared" si="10"/>
        <v>WT</v>
      </c>
      <c r="R11" s="32"/>
      <c r="S11" t="str">
        <f t="shared" si="11"/>
        <v>WT</v>
      </c>
      <c r="U11" s="5" t="s">
        <v>415</v>
      </c>
      <c r="V11" s="3" t="s">
        <v>440</v>
      </c>
    </row>
    <row r="12" spans="1:22" ht="32" x14ac:dyDescent="0.2">
      <c r="A12" t="s">
        <v>441</v>
      </c>
      <c r="B12" s="29">
        <f t="shared" si="0"/>
        <v>45904.348632835121</v>
      </c>
      <c r="C12" s="29">
        <f t="shared" si="1"/>
        <v>45904.681966168457</v>
      </c>
      <c r="D12">
        <v>-31.981311745999999</v>
      </c>
      <c r="E12">
        <v>115.816192321</v>
      </c>
      <c r="F12">
        <v>1.1839999999999999</v>
      </c>
      <c r="G12">
        <v>0</v>
      </c>
      <c r="H12" s="30">
        <f t="shared" si="2"/>
        <v>5.1892075454816222</v>
      </c>
      <c r="I12" s="31">
        <f t="shared" si="3"/>
        <v>21.066848363226335</v>
      </c>
      <c r="J12" t="b">
        <f t="shared" si="4"/>
        <v>1</v>
      </c>
      <c r="K12" t="b">
        <f t="shared" si="5"/>
        <v>0</v>
      </c>
      <c r="L12" t="b">
        <f t="shared" si="6"/>
        <v>1</v>
      </c>
      <c r="M12" t="b">
        <f t="shared" si="7"/>
        <v>1</v>
      </c>
      <c r="N12" t="b">
        <f t="shared" si="8"/>
        <v>0</v>
      </c>
      <c r="O12">
        <f t="shared" si="12"/>
        <v>2</v>
      </c>
      <c r="P12" s="31">
        <f t="shared" si="9"/>
        <v>20.619092672131956</v>
      </c>
      <c r="Q12" t="str">
        <f t="shared" si="10"/>
        <v>WT</v>
      </c>
      <c r="R12" s="32"/>
      <c r="S12" t="str">
        <f t="shared" si="11"/>
        <v>WT</v>
      </c>
      <c r="U12" s="5" t="s">
        <v>416</v>
      </c>
      <c r="V12" s="3" t="s">
        <v>442</v>
      </c>
    </row>
    <row r="13" spans="1:22" ht="16" x14ac:dyDescent="0.2">
      <c r="A13" t="s">
        <v>443</v>
      </c>
      <c r="B13" s="29">
        <f t="shared" si="0"/>
        <v>45904.348692895393</v>
      </c>
      <c r="C13" s="29">
        <f t="shared" si="1"/>
        <v>45904.682026228729</v>
      </c>
      <c r="D13">
        <v>-31.981308039000002</v>
      </c>
      <c r="E13">
        <v>115.816259667</v>
      </c>
      <c r="F13">
        <v>1.2270000000000001</v>
      </c>
      <c r="G13">
        <v>0</v>
      </c>
      <c r="H13" s="30">
        <f t="shared" si="2"/>
        <v>5.2226928295567632</v>
      </c>
      <c r="I13" s="31">
        <f t="shared" si="3"/>
        <v>27.429684151523201</v>
      </c>
      <c r="J13" t="b">
        <f t="shared" si="4"/>
        <v>1</v>
      </c>
      <c r="K13" t="b">
        <f t="shared" si="5"/>
        <v>0</v>
      </c>
      <c r="L13" t="b">
        <f t="shared" si="6"/>
        <v>1</v>
      </c>
      <c r="M13" t="b">
        <f t="shared" si="7"/>
        <v>1</v>
      </c>
      <c r="N13" t="b">
        <f t="shared" si="8"/>
        <v>0</v>
      </c>
      <c r="O13">
        <f t="shared" si="12"/>
        <v>2</v>
      </c>
      <c r="P13" s="31">
        <f t="shared" si="9"/>
        <v>20.619092672131956</v>
      </c>
      <c r="Q13" t="str">
        <f t="shared" si="10"/>
        <v>WT</v>
      </c>
      <c r="R13" s="32"/>
      <c r="S13" t="str">
        <f t="shared" si="11"/>
        <v>WT</v>
      </c>
      <c r="U13" s="5" t="s">
        <v>417</v>
      </c>
      <c r="V13" s="3" t="s">
        <v>444</v>
      </c>
    </row>
    <row r="14" spans="1:22" ht="32" x14ac:dyDescent="0.2">
      <c r="A14" t="s">
        <v>445</v>
      </c>
      <c r="B14" s="29">
        <f t="shared" si="0"/>
        <v>45904.348753343227</v>
      </c>
      <c r="C14" s="29">
        <f t="shared" si="1"/>
        <v>45904.682086676563</v>
      </c>
      <c r="D14">
        <v>-31.981308479999999</v>
      </c>
      <c r="E14">
        <v>115.816327169</v>
      </c>
      <c r="F14">
        <v>1.2190000000000001</v>
      </c>
      <c r="G14">
        <v>0</v>
      </c>
      <c r="H14" s="30">
        <f t="shared" si="2"/>
        <v>5.2017835434526205</v>
      </c>
      <c r="I14" s="31">
        <f t="shared" si="3"/>
        <v>33.772293993910523</v>
      </c>
      <c r="J14" t="b">
        <f t="shared" si="4"/>
        <v>1</v>
      </c>
      <c r="K14" t="b">
        <f t="shared" si="5"/>
        <v>0</v>
      </c>
      <c r="L14" t="b">
        <f t="shared" si="6"/>
        <v>0</v>
      </c>
      <c r="M14" t="b">
        <f t="shared" si="7"/>
        <v>1</v>
      </c>
      <c r="N14" t="b">
        <f t="shared" si="8"/>
        <v>0</v>
      </c>
      <c r="O14">
        <f t="shared" si="12"/>
        <v>3</v>
      </c>
      <c r="P14" s="31">
        <f t="shared" si="9"/>
        <v>71.583100338466465</v>
      </c>
      <c r="Q14" t="str">
        <f t="shared" si="10"/>
        <v>WT</v>
      </c>
      <c r="R14" s="32"/>
      <c r="S14" t="str">
        <f t="shared" si="11"/>
        <v>WT</v>
      </c>
      <c r="U14" s="5" t="s">
        <v>418</v>
      </c>
      <c r="V14" s="3" t="s">
        <v>446</v>
      </c>
    </row>
    <row r="15" spans="1:22" ht="16" x14ac:dyDescent="0.2">
      <c r="A15" t="s">
        <v>447</v>
      </c>
      <c r="B15" s="29">
        <f t="shared" si="0"/>
        <v>45904.348813549055</v>
      </c>
      <c r="C15" s="29">
        <f t="shared" si="1"/>
        <v>45904.682146882391</v>
      </c>
      <c r="D15">
        <v>-31.981311148</v>
      </c>
      <c r="E15">
        <v>115.81639789800001</v>
      </c>
      <c r="F15">
        <v>1.284</v>
      </c>
      <c r="G15">
        <v>0</v>
      </c>
      <c r="H15" s="30">
        <f t="shared" si="2"/>
        <v>5.1805291324853897</v>
      </c>
      <c r="I15" s="31">
        <f t="shared" si="3"/>
        <v>40.412823541108075</v>
      </c>
      <c r="J15" t="b">
        <f t="shared" si="4"/>
        <v>1</v>
      </c>
      <c r="K15" t="b">
        <f t="shared" si="5"/>
        <v>0</v>
      </c>
      <c r="L15" t="b">
        <f t="shared" si="6"/>
        <v>0</v>
      </c>
      <c r="M15" t="b">
        <f t="shared" si="7"/>
        <v>1</v>
      </c>
      <c r="N15" t="b">
        <f t="shared" si="8"/>
        <v>0</v>
      </c>
      <c r="O15">
        <f t="shared" si="12"/>
        <v>3</v>
      </c>
      <c r="P15" s="31">
        <f t="shared" si="9"/>
        <v>71.583100338466465</v>
      </c>
      <c r="Q15" t="str">
        <f t="shared" si="10"/>
        <v>WT</v>
      </c>
      <c r="R15" s="32"/>
      <c r="S15" t="str">
        <f t="shared" si="11"/>
        <v>WT</v>
      </c>
      <c r="U15" s="5" t="s">
        <v>419</v>
      </c>
      <c r="V15" s="3" t="s">
        <v>448</v>
      </c>
    </row>
    <row r="16" spans="1:22" x14ac:dyDescent="0.2">
      <c r="A16" t="s">
        <v>449</v>
      </c>
      <c r="B16" s="29">
        <f t="shared" si="0"/>
        <v>45904.348873508883</v>
      </c>
      <c r="C16" s="29">
        <f t="shared" si="1"/>
        <v>45904.682206842219</v>
      </c>
      <c r="D16">
        <v>-31.981307934</v>
      </c>
      <c r="E16">
        <v>115.816463282</v>
      </c>
      <c r="F16">
        <v>1.1919999999999999</v>
      </c>
      <c r="G16">
        <v>0</v>
      </c>
      <c r="H16" s="30">
        <f t="shared" si="2"/>
        <v>5.0180997932329774</v>
      </c>
      <c r="I16" s="31">
        <f t="shared" si="3"/>
        <v>46.589953229446941</v>
      </c>
      <c r="J16" t="b">
        <f t="shared" si="4"/>
        <v>1</v>
      </c>
      <c r="K16" t="b">
        <f t="shared" si="5"/>
        <v>0</v>
      </c>
      <c r="L16" t="b">
        <f t="shared" si="6"/>
        <v>0</v>
      </c>
      <c r="M16" t="b">
        <f t="shared" si="7"/>
        <v>1</v>
      </c>
      <c r="N16" t="b">
        <f t="shared" si="8"/>
        <v>0</v>
      </c>
      <c r="O16">
        <f t="shared" si="12"/>
        <v>3</v>
      </c>
      <c r="P16" s="31">
        <f t="shared" si="9"/>
        <v>71.583100338466465</v>
      </c>
      <c r="Q16" t="str">
        <f t="shared" si="10"/>
        <v>WT</v>
      </c>
      <c r="R16" s="32"/>
      <c r="S16" t="str">
        <f t="shared" si="11"/>
        <v>WT</v>
      </c>
    </row>
    <row r="17" spans="1:22" ht="48" x14ac:dyDescent="0.2">
      <c r="A17" t="s">
        <v>450</v>
      </c>
      <c r="B17" s="29">
        <f t="shared" si="0"/>
        <v>45904.348931588742</v>
      </c>
      <c r="C17" s="29">
        <f t="shared" si="1"/>
        <v>45904.682264922078</v>
      </c>
      <c r="D17">
        <v>-31.981310537999999</v>
      </c>
      <c r="E17">
        <v>115.81652707000001</v>
      </c>
      <c r="F17">
        <v>1.2</v>
      </c>
      <c r="G17">
        <v>0</v>
      </c>
      <c r="H17" s="30">
        <f t="shared" si="2"/>
        <v>5.0085324794054031</v>
      </c>
      <c r="I17" s="31">
        <f t="shared" si="3"/>
        <v>52.586193432817204</v>
      </c>
      <c r="J17" t="b">
        <f t="shared" si="4"/>
        <v>1</v>
      </c>
      <c r="K17" t="b">
        <f t="shared" si="5"/>
        <v>0</v>
      </c>
      <c r="L17" t="b">
        <f t="shared" si="6"/>
        <v>0</v>
      </c>
      <c r="M17" t="b">
        <f t="shared" si="7"/>
        <v>1</v>
      </c>
      <c r="N17" t="b">
        <f t="shared" si="8"/>
        <v>0</v>
      </c>
      <c r="O17">
        <f t="shared" si="12"/>
        <v>3</v>
      </c>
      <c r="P17" s="31">
        <f t="shared" si="9"/>
        <v>71.583100338466465</v>
      </c>
      <c r="Q17" t="str">
        <f t="shared" si="10"/>
        <v>WT</v>
      </c>
      <c r="R17" s="32"/>
      <c r="S17" t="str">
        <f t="shared" si="11"/>
        <v>WT</v>
      </c>
      <c r="U17" s="4" t="s">
        <v>451</v>
      </c>
      <c r="V17" s="3" t="s">
        <v>452</v>
      </c>
    </row>
    <row r="18" spans="1:22" x14ac:dyDescent="0.2">
      <c r="A18" t="s">
        <v>453</v>
      </c>
      <c r="B18" s="29">
        <f t="shared" si="0"/>
        <v>45904.348989557868</v>
      </c>
      <c r="C18" s="29">
        <f t="shared" si="1"/>
        <v>45904.682322891204</v>
      </c>
      <c r="D18">
        <v>-31.981311378000001</v>
      </c>
      <c r="E18">
        <v>115.81659874499999</v>
      </c>
      <c r="F18">
        <v>1.35</v>
      </c>
      <c r="G18">
        <v>0</v>
      </c>
      <c r="H18" s="30">
        <f t="shared" si="2"/>
        <v>5.1798722008243203</v>
      </c>
      <c r="I18" s="31">
        <f t="shared" si="3"/>
        <v>59.33801758323505</v>
      </c>
      <c r="J18" t="b">
        <f t="shared" si="4"/>
        <v>1</v>
      </c>
      <c r="K18" t="b">
        <f t="shared" si="5"/>
        <v>0</v>
      </c>
      <c r="L18" t="b">
        <f t="shared" si="6"/>
        <v>0</v>
      </c>
      <c r="M18" t="b">
        <f t="shared" si="7"/>
        <v>1</v>
      </c>
      <c r="N18" t="b">
        <f t="shared" si="8"/>
        <v>0</v>
      </c>
      <c r="O18">
        <f t="shared" si="12"/>
        <v>3</v>
      </c>
      <c r="P18" s="31">
        <f t="shared" si="9"/>
        <v>71.583100338466465</v>
      </c>
      <c r="Q18" t="str">
        <f t="shared" si="10"/>
        <v>WT</v>
      </c>
      <c r="R18" s="32"/>
      <c r="S18" t="str">
        <f t="shared" si="11"/>
        <v>WT</v>
      </c>
    </row>
    <row r="19" spans="1:22" ht="64" x14ac:dyDescent="0.2">
      <c r="A19" t="s">
        <v>454</v>
      </c>
      <c r="B19" s="29">
        <f t="shared" si="0"/>
        <v>45904.349049510092</v>
      </c>
      <c r="C19" s="29">
        <f t="shared" si="1"/>
        <v>45904.682382843428</v>
      </c>
      <c r="D19">
        <v>-31.981307527999999</v>
      </c>
      <c r="E19">
        <v>115.816667537</v>
      </c>
      <c r="F19">
        <v>1.2549999999999999</v>
      </c>
      <c r="G19">
        <v>0</v>
      </c>
      <c r="H19" s="30">
        <f t="shared" si="2"/>
        <v>5.0058261724188924</v>
      </c>
      <c r="I19" s="31">
        <f t="shared" si="3"/>
        <v>65.837628009484888</v>
      </c>
      <c r="J19" t="b">
        <f t="shared" si="4"/>
        <v>1</v>
      </c>
      <c r="K19" t="b">
        <f t="shared" si="5"/>
        <v>0</v>
      </c>
      <c r="L19" t="b">
        <f t="shared" si="6"/>
        <v>0</v>
      </c>
      <c r="M19" t="b">
        <f t="shared" si="7"/>
        <v>1</v>
      </c>
      <c r="N19" t="b">
        <f t="shared" si="8"/>
        <v>0</v>
      </c>
      <c r="O19">
        <f t="shared" si="12"/>
        <v>3</v>
      </c>
      <c r="P19" s="31">
        <f t="shared" si="9"/>
        <v>71.583100338466465</v>
      </c>
      <c r="Q19" t="str">
        <f t="shared" si="10"/>
        <v>WT</v>
      </c>
      <c r="R19" s="32"/>
      <c r="S19" t="str">
        <f t="shared" si="11"/>
        <v>WT</v>
      </c>
      <c r="U19" s="4" t="s">
        <v>309</v>
      </c>
      <c r="V19" s="3" t="s">
        <v>455</v>
      </c>
    </row>
    <row r="20" spans="1:22" x14ac:dyDescent="0.2">
      <c r="A20" t="s">
        <v>456</v>
      </c>
      <c r="B20" s="29">
        <f t="shared" si="0"/>
        <v>45904.349107447895</v>
      </c>
      <c r="C20" s="29">
        <f t="shared" si="1"/>
        <v>45904.682440781231</v>
      </c>
      <c r="D20">
        <v>-31.981308133999999</v>
      </c>
      <c r="E20">
        <v>115.81673406199999</v>
      </c>
      <c r="F20">
        <v>1.254</v>
      </c>
      <c r="G20">
        <v>0</v>
      </c>
      <c r="H20" s="30">
        <f t="shared" si="2"/>
        <v>5.0098608015105128</v>
      </c>
      <c r="I20" s="31">
        <f t="shared" si="3"/>
        <v>72.105691803663703</v>
      </c>
      <c r="J20" t="b">
        <f t="shared" si="4"/>
        <v>1</v>
      </c>
      <c r="K20" t="b">
        <f t="shared" si="5"/>
        <v>0</v>
      </c>
      <c r="L20" t="b">
        <f t="shared" si="6"/>
        <v>0</v>
      </c>
      <c r="M20" t="b">
        <f t="shared" si="7"/>
        <v>1</v>
      </c>
      <c r="N20" t="b">
        <f t="shared" si="8"/>
        <v>0</v>
      </c>
      <c r="O20">
        <f t="shared" si="12"/>
        <v>3</v>
      </c>
      <c r="P20" s="31">
        <f t="shared" si="9"/>
        <v>71.583100338466465</v>
      </c>
      <c r="Q20" t="str">
        <f t="shared" si="10"/>
        <v>WT</v>
      </c>
      <c r="R20" s="32"/>
      <c r="S20" t="str">
        <f t="shared" si="11"/>
        <v>WT</v>
      </c>
    </row>
    <row r="21" spans="1:22" x14ac:dyDescent="0.2">
      <c r="A21" t="s">
        <v>457</v>
      </c>
      <c r="B21" s="29">
        <f t="shared" si="0"/>
        <v>45904.349165432395</v>
      </c>
      <c r="C21" s="29">
        <f t="shared" si="1"/>
        <v>45904.682498765731</v>
      </c>
      <c r="D21">
        <v>-31.981309343</v>
      </c>
      <c r="E21">
        <v>115.816800785</v>
      </c>
      <c r="F21">
        <v>1.256</v>
      </c>
      <c r="G21">
        <v>0</v>
      </c>
      <c r="H21" s="30">
        <f t="shared" si="2"/>
        <v>5.1899631740525365</v>
      </c>
      <c r="I21" s="31">
        <f t="shared" si="3"/>
        <v>78.391515575904862</v>
      </c>
      <c r="J21" t="b">
        <f t="shared" si="4"/>
        <v>1</v>
      </c>
      <c r="K21" t="b">
        <f t="shared" si="5"/>
        <v>0</v>
      </c>
      <c r="L21" t="b">
        <f t="shared" si="6"/>
        <v>0</v>
      </c>
      <c r="M21" t="b">
        <f t="shared" si="7"/>
        <v>1</v>
      </c>
      <c r="N21" t="b">
        <f t="shared" si="8"/>
        <v>0</v>
      </c>
      <c r="O21">
        <f t="shared" si="12"/>
        <v>3</v>
      </c>
      <c r="P21" s="31">
        <f t="shared" si="9"/>
        <v>71.583100338466465</v>
      </c>
      <c r="Q21" t="str">
        <f t="shared" si="10"/>
        <v>WT</v>
      </c>
      <c r="R21" s="32"/>
      <c r="S21" t="str">
        <f t="shared" si="11"/>
        <v>WT</v>
      </c>
    </row>
    <row r="22" spans="1:22" x14ac:dyDescent="0.2">
      <c r="A22" t="s">
        <v>458</v>
      </c>
      <c r="B22" s="29">
        <f t="shared" si="0"/>
        <v>45904.349225501413</v>
      </c>
      <c r="C22" s="29">
        <f t="shared" si="1"/>
        <v>45904.682558834749</v>
      </c>
      <c r="D22">
        <v>-31.981312492000001</v>
      </c>
      <c r="E22">
        <v>115.816871523</v>
      </c>
      <c r="F22">
        <v>1.2869999999999999</v>
      </c>
      <c r="G22">
        <v>0</v>
      </c>
      <c r="H22" s="30">
        <f t="shared" si="2"/>
        <v>5.2113540004938841</v>
      </c>
      <c r="I22" s="31">
        <f t="shared" si="3"/>
        <v>85.05199514322652</v>
      </c>
      <c r="J22" t="b">
        <f t="shared" si="4"/>
        <v>1</v>
      </c>
      <c r="K22" t="b">
        <f t="shared" si="5"/>
        <v>0</v>
      </c>
      <c r="L22" t="b">
        <f t="shared" si="6"/>
        <v>0</v>
      </c>
      <c r="M22" t="b">
        <f t="shared" si="7"/>
        <v>1</v>
      </c>
      <c r="N22" t="b">
        <f t="shared" si="8"/>
        <v>0</v>
      </c>
      <c r="O22">
        <f t="shared" si="12"/>
        <v>3</v>
      </c>
      <c r="P22" s="31">
        <f t="shared" si="9"/>
        <v>71.583100338466465</v>
      </c>
      <c r="Q22" t="str">
        <f t="shared" si="10"/>
        <v>WT</v>
      </c>
      <c r="R22" s="32"/>
      <c r="S22" t="str">
        <f t="shared" si="11"/>
        <v>WT</v>
      </c>
    </row>
    <row r="23" spans="1:22" x14ac:dyDescent="0.2">
      <c r="A23" t="s">
        <v>459</v>
      </c>
      <c r="B23" s="29">
        <f t="shared" si="0"/>
        <v>45904.349285818011</v>
      </c>
      <c r="C23" s="29">
        <f t="shared" si="1"/>
        <v>45904.682619151346</v>
      </c>
      <c r="D23">
        <v>-31.981313748000002</v>
      </c>
      <c r="E23">
        <v>115.81693934800001</v>
      </c>
      <c r="F23">
        <v>1.228</v>
      </c>
      <c r="G23">
        <v>0</v>
      </c>
      <c r="H23" s="30">
        <f t="shared" si="2"/>
        <v>5.0101663218811154</v>
      </c>
      <c r="I23" s="31">
        <f t="shared" si="3"/>
        <v>91.444677321110646</v>
      </c>
      <c r="J23" t="b">
        <f t="shared" si="4"/>
        <v>1</v>
      </c>
      <c r="K23" t="b">
        <f t="shared" si="5"/>
        <v>0</v>
      </c>
      <c r="L23" t="b">
        <f t="shared" si="6"/>
        <v>0</v>
      </c>
      <c r="M23" t="b">
        <f t="shared" si="7"/>
        <v>1</v>
      </c>
      <c r="N23" t="b">
        <f t="shared" si="8"/>
        <v>0</v>
      </c>
      <c r="O23">
        <f t="shared" si="12"/>
        <v>3</v>
      </c>
      <c r="P23" s="31">
        <f t="shared" si="9"/>
        <v>71.583100338466465</v>
      </c>
      <c r="Q23" t="str">
        <f t="shared" si="10"/>
        <v>WT</v>
      </c>
      <c r="R23" s="32"/>
      <c r="S23" t="str">
        <f t="shared" si="11"/>
        <v>WT</v>
      </c>
    </row>
    <row r="24" spans="1:22" x14ac:dyDescent="0.2">
      <c r="A24" t="s">
        <v>460</v>
      </c>
      <c r="B24" s="29">
        <f t="shared" si="0"/>
        <v>45904.349343806047</v>
      </c>
      <c r="C24" s="29">
        <f t="shared" si="1"/>
        <v>45904.682677139383</v>
      </c>
      <c r="D24">
        <v>-31.981311925</v>
      </c>
      <c r="E24">
        <v>115.81700252900001</v>
      </c>
      <c r="F24">
        <v>1.19</v>
      </c>
      <c r="G24">
        <v>0</v>
      </c>
      <c r="H24" s="30">
        <f t="shared" si="2"/>
        <v>5.0060807727277279</v>
      </c>
      <c r="I24" s="31">
        <f t="shared" si="3"/>
        <v>97.406653558539546</v>
      </c>
      <c r="J24" t="b">
        <f t="shared" si="4"/>
        <v>1</v>
      </c>
      <c r="K24" t="b">
        <f t="shared" si="5"/>
        <v>0</v>
      </c>
      <c r="L24" t="b">
        <f t="shared" si="6"/>
        <v>0</v>
      </c>
      <c r="M24" t="b">
        <f t="shared" si="7"/>
        <v>1</v>
      </c>
      <c r="N24" t="b">
        <f t="shared" si="8"/>
        <v>0</v>
      </c>
      <c r="O24">
        <f t="shared" si="12"/>
        <v>3</v>
      </c>
      <c r="P24" s="31">
        <f t="shared" si="9"/>
        <v>71.583100338466465</v>
      </c>
      <c r="Q24" t="str">
        <f t="shared" si="10"/>
        <v>WT</v>
      </c>
      <c r="R24" s="32"/>
      <c r="S24" t="str">
        <f t="shared" si="11"/>
        <v>WT</v>
      </c>
    </row>
    <row r="25" spans="1:22" x14ac:dyDescent="0.2">
      <c r="A25" t="s">
        <v>461</v>
      </c>
      <c r="B25" s="29">
        <f t="shared" si="0"/>
        <v>45904.349401746797</v>
      </c>
      <c r="C25" s="29">
        <f t="shared" si="1"/>
        <v>45904.682735080132</v>
      </c>
      <c r="D25">
        <v>-31.981310633</v>
      </c>
      <c r="E25">
        <v>115.817070027</v>
      </c>
      <c r="F25">
        <v>1.272</v>
      </c>
      <c r="G25">
        <v>0</v>
      </c>
      <c r="H25" s="30">
        <f t="shared" si="2"/>
        <v>5.1902906969189644</v>
      </c>
      <c r="I25" s="31">
        <f t="shared" si="3"/>
        <v>103.7745302601201</v>
      </c>
      <c r="J25" t="b">
        <f t="shared" si="4"/>
        <v>1</v>
      </c>
      <c r="K25" t="b">
        <f t="shared" si="5"/>
        <v>0</v>
      </c>
      <c r="L25" t="b">
        <f t="shared" si="6"/>
        <v>0</v>
      </c>
      <c r="M25" t="b">
        <f t="shared" si="7"/>
        <v>1</v>
      </c>
      <c r="N25" t="b">
        <f t="shared" si="8"/>
        <v>0</v>
      </c>
      <c r="O25">
        <f t="shared" si="12"/>
        <v>3</v>
      </c>
      <c r="P25" s="31">
        <f t="shared" si="9"/>
        <v>71.583100338466465</v>
      </c>
      <c r="Q25" t="str">
        <f t="shared" si="10"/>
        <v>WT</v>
      </c>
      <c r="R25" s="32"/>
      <c r="S25" t="str">
        <f t="shared" si="11"/>
        <v>WT</v>
      </c>
    </row>
    <row r="26" spans="1:22" x14ac:dyDescent="0.2">
      <c r="A26" t="s">
        <v>462</v>
      </c>
      <c r="B26" s="29">
        <f t="shared" si="0"/>
        <v>45904.349461819605</v>
      </c>
      <c r="C26" s="29">
        <f t="shared" si="1"/>
        <v>45904.682795152941</v>
      </c>
      <c r="D26">
        <v>-31.981301760000001</v>
      </c>
      <c r="E26">
        <v>115.81714137100001</v>
      </c>
      <c r="F26">
        <v>1.31</v>
      </c>
      <c r="G26">
        <v>0</v>
      </c>
      <c r="H26" s="30">
        <f t="shared" si="2"/>
        <v>5.1899342564865947</v>
      </c>
      <c r="I26" s="31">
        <f t="shared" si="3"/>
        <v>110.52581759550853</v>
      </c>
      <c r="J26" t="b">
        <f t="shared" si="4"/>
        <v>1</v>
      </c>
      <c r="K26" t="b">
        <f t="shared" si="5"/>
        <v>0</v>
      </c>
      <c r="L26" t="b">
        <f t="shared" si="6"/>
        <v>0</v>
      </c>
      <c r="M26" t="b">
        <f t="shared" si="7"/>
        <v>1</v>
      </c>
      <c r="N26" t="b">
        <f t="shared" si="8"/>
        <v>0</v>
      </c>
      <c r="O26">
        <f t="shared" si="12"/>
        <v>3</v>
      </c>
      <c r="P26" s="31">
        <f t="shared" si="9"/>
        <v>71.583100338466465</v>
      </c>
      <c r="Q26" t="str">
        <f t="shared" si="10"/>
        <v>WT</v>
      </c>
      <c r="R26" s="32"/>
      <c r="S26" t="str">
        <f t="shared" si="11"/>
        <v>WT</v>
      </c>
    </row>
    <row r="27" spans="1:22" x14ac:dyDescent="0.2">
      <c r="A27" t="s">
        <v>463</v>
      </c>
      <c r="B27" s="29">
        <f t="shared" si="0"/>
        <v>45904.349521888289</v>
      </c>
      <c r="C27" s="29">
        <f t="shared" si="1"/>
        <v>45904.682855221625</v>
      </c>
      <c r="D27">
        <v>-31.981290486999999</v>
      </c>
      <c r="E27">
        <v>115.817163056</v>
      </c>
      <c r="F27">
        <v>0.46200000000000002</v>
      </c>
      <c r="G27">
        <v>0</v>
      </c>
      <c r="H27" s="30">
        <f t="shared" si="2"/>
        <v>5.1808069925755262</v>
      </c>
      <c r="I27" s="31">
        <f t="shared" si="3"/>
        <v>112.61223415648963</v>
      </c>
      <c r="J27" t="b">
        <f t="shared" si="4"/>
        <v>1</v>
      </c>
      <c r="K27" t="b">
        <f t="shared" si="5"/>
        <v>0</v>
      </c>
      <c r="L27" t="b">
        <f t="shared" si="6"/>
        <v>0</v>
      </c>
      <c r="M27" t="b">
        <f t="shared" si="7"/>
        <v>1</v>
      </c>
      <c r="N27" t="b">
        <f t="shared" si="8"/>
        <v>0</v>
      </c>
      <c r="O27">
        <f t="shared" si="12"/>
        <v>3</v>
      </c>
      <c r="P27" s="31">
        <f t="shared" si="9"/>
        <v>71.583100338466465</v>
      </c>
      <c r="Q27" t="str">
        <f t="shared" si="10"/>
        <v>WT</v>
      </c>
      <c r="R27" s="32"/>
      <c r="S27" t="str">
        <f t="shared" si="11"/>
        <v>WT</v>
      </c>
    </row>
    <row r="28" spans="1:22" x14ac:dyDescent="0.2">
      <c r="A28" t="s">
        <v>464</v>
      </c>
      <c r="B28" s="29">
        <f t="shared" si="0"/>
        <v>45904.349581851333</v>
      </c>
      <c r="C28" s="29">
        <f t="shared" si="1"/>
        <v>45904.682915184669</v>
      </c>
      <c r="D28">
        <v>-31.981289490999998</v>
      </c>
      <c r="E28">
        <v>115.817162831</v>
      </c>
      <c r="F28">
        <v>2.1999999999999999E-2</v>
      </c>
      <c r="G28">
        <v>0</v>
      </c>
      <c r="H28" s="30">
        <f t="shared" si="2"/>
        <v>5.0074675586074591</v>
      </c>
      <c r="I28" s="31">
        <f t="shared" si="3"/>
        <v>112.59540560227261</v>
      </c>
      <c r="J28" t="b">
        <f t="shared" si="4"/>
        <v>1</v>
      </c>
      <c r="K28" t="b">
        <f t="shared" si="5"/>
        <v>1</v>
      </c>
      <c r="L28" t="b">
        <f t="shared" si="6"/>
        <v>0</v>
      </c>
      <c r="M28" t="b">
        <f t="shared" si="7"/>
        <v>1</v>
      </c>
      <c r="N28" t="b">
        <f t="shared" si="8"/>
        <v>0</v>
      </c>
      <c r="O28">
        <f t="shared" si="12"/>
        <v>4</v>
      </c>
      <c r="P28" s="31">
        <f t="shared" si="9"/>
        <v>5.0074675586074591</v>
      </c>
      <c r="Q28" t="str">
        <f t="shared" si="10"/>
        <v>WT</v>
      </c>
      <c r="R28" s="32"/>
      <c r="S28" t="str">
        <f t="shared" si="11"/>
        <v>WT</v>
      </c>
    </row>
    <row r="29" spans="1:22" x14ac:dyDescent="0.2">
      <c r="A29" t="s">
        <v>465</v>
      </c>
      <c r="B29" s="29">
        <f t="shared" si="0"/>
        <v>45904.349639808133</v>
      </c>
      <c r="C29" s="29">
        <f t="shared" si="1"/>
        <v>45904.682973141469</v>
      </c>
      <c r="D29">
        <v>-31.981296081</v>
      </c>
      <c r="E29">
        <v>115.81715420099999</v>
      </c>
      <c r="F29">
        <v>0.219</v>
      </c>
      <c r="G29">
        <v>0</v>
      </c>
      <c r="H29" s="30">
        <f t="shared" si="2"/>
        <v>5.0086802104488015</v>
      </c>
      <c r="I29" s="31">
        <f t="shared" si="3"/>
        <v>111.75496526026242</v>
      </c>
      <c r="J29" t="b">
        <f t="shared" si="4"/>
        <v>1</v>
      </c>
      <c r="K29" t="b">
        <f t="shared" si="5"/>
        <v>0</v>
      </c>
      <c r="L29" t="b">
        <f t="shared" si="6"/>
        <v>0</v>
      </c>
      <c r="M29" t="b">
        <f t="shared" si="7"/>
        <v>1</v>
      </c>
      <c r="N29" t="b">
        <f t="shared" si="8"/>
        <v>0</v>
      </c>
      <c r="O29">
        <f t="shared" si="12"/>
        <v>5</v>
      </c>
      <c r="P29" s="31">
        <f t="shared" si="9"/>
        <v>774.62238951120526</v>
      </c>
      <c r="Q29" t="str">
        <f t="shared" si="10"/>
        <v>WT</v>
      </c>
      <c r="R29" s="32"/>
      <c r="S29" t="str">
        <f t="shared" si="11"/>
        <v>WT</v>
      </c>
    </row>
    <row r="30" spans="1:22" x14ac:dyDescent="0.2">
      <c r="A30" t="s">
        <v>466</v>
      </c>
      <c r="B30" s="29">
        <f t="shared" si="0"/>
        <v>45904.349697778969</v>
      </c>
      <c r="C30" s="29">
        <f t="shared" si="1"/>
        <v>45904.683031112305</v>
      </c>
      <c r="D30">
        <v>-31.981293518000001</v>
      </c>
      <c r="E30">
        <v>115.81717651699999</v>
      </c>
      <c r="F30">
        <v>0.42399999999999999</v>
      </c>
      <c r="G30">
        <v>0</v>
      </c>
      <c r="H30" s="30">
        <f t="shared" si="2"/>
        <v>5.1924878032878041</v>
      </c>
      <c r="I30" s="31">
        <f t="shared" si="3"/>
        <v>113.86838409767731</v>
      </c>
      <c r="J30" t="b">
        <f t="shared" si="4"/>
        <v>1</v>
      </c>
      <c r="K30" t="b">
        <f t="shared" si="5"/>
        <v>0</v>
      </c>
      <c r="L30" t="b">
        <f t="shared" si="6"/>
        <v>0</v>
      </c>
      <c r="M30" t="b">
        <f t="shared" si="7"/>
        <v>1</v>
      </c>
      <c r="N30" t="b">
        <f t="shared" si="8"/>
        <v>0</v>
      </c>
      <c r="O30">
        <f t="shared" si="12"/>
        <v>5</v>
      </c>
      <c r="P30" s="31">
        <f t="shared" si="9"/>
        <v>774.62238951120526</v>
      </c>
      <c r="Q30" t="str">
        <f t="shared" si="10"/>
        <v>WT</v>
      </c>
      <c r="R30" s="32"/>
      <c r="S30" t="str">
        <f t="shared" si="11"/>
        <v>WT</v>
      </c>
    </row>
    <row r="31" spans="1:22" x14ac:dyDescent="0.2">
      <c r="A31" t="s">
        <v>467</v>
      </c>
      <c r="B31" s="29">
        <f t="shared" si="0"/>
        <v>45904.349757877208</v>
      </c>
      <c r="C31" s="29">
        <f t="shared" si="1"/>
        <v>45904.683091210543</v>
      </c>
      <c r="D31">
        <v>-31.981246164000002</v>
      </c>
      <c r="E31">
        <v>115.81720421999999</v>
      </c>
      <c r="F31">
        <v>1.1319999999999999</v>
      </c>
      <c r="G31">
        <v>0</v>
      </c>
      <c r="H31" s="30">
        <f t="shared" si="2"/>
        <v>5.2208980545401573</v>
      </c>
      <c r="I31" s="31">
        <f t="shared" si="3"/>
        <v>116.78168555249727</v>
      </c>
      <c r="J31" t="b">
        <f t="shared" si="4"/>
        <v>1</v>
      </c>
      <c r="K31" t="b">
        <f t="shared" si="5"/>
        <v>0</v>
      </c>
      <c r="L31" t="b">
        <f t="shared" si="6"/>
        <v>0</v>
      </c>
      <c r="M31" t="b">
        <f t="shared" si="7"/>
        <v>1</v>
      </c>
      <c r="N31" t="b">
        <f t="shared" si="8"/>
        <v>0</v>
      </c>
      <c r="O31">
        <f t="shared" si="12"/>
        <v>5</v>
      </c>
      <c r="P31" s="31">
        <f t="shared" si="9"/>
        <v>774.62238951120526</v>
      </c>
      <c r="Q31" t="str">
        <f t="shared" si="10"/>
        <v>WT</v>
      </c>
      <c r="R31" s="32"/>
      <c r="S31" t="str">
        <f t="shared" si="11"/>
        <v>WT</v>
      </c>
    </row>
    <row r="32" spans="1:22" x14ac:dyDescent="0.2">
      <c r="A32" t="s">
        <v>468</v>
      </c>
      <c r="B32" s="29">
        <f t="shared" si="0"/>
        <v>45904.349818304268</v>
      </c>
      <c r="C32" s="29">
        <f t="shared" si="1"/>
        <v>45904.683151637604</v>
      </c>
      <c r="D32">
        <v>-31.981182174000001</v>
      </c>
      <c r="E32">
        <v>115.81720228499999</v>
      </c>
      <c r="F32">
        <v>1.363</v>
      </c>
      <c r="G32">
        <v>0</v>
      </c>
      <c r="H32" s="30">
        <f t="shared" si="2"/>
        <v>5.0092290155589581</v>
      </c>
      <c r="I32" s="31">
        <f t="shared" si="3"/>
        <v>117.38314836477525</v>
      </c>
      <c r="J32" t="b">
        <f t="shared" si="4"/>
        <v>1</v>
      </c>
      <c r="K32" t="b">
        <f t="shared" si="5"/>
        <v>0</v>
      </c>
      <c r="L32" t="b">
        <f t="shared" si="6"/>
        <v>0</v>
      </c>
      <c r="M32" t="b">
        <f t="shared" si="7"/>
        <v>1</v>
      </c>
      <c r="N32" t="b">
        <f t="shared" si="8"/>
        <v>0</v>
      </c>
      <c r="O32">
        <f t="shared" si="12"/>
        <v>5</v>
      </c>
      <c r="P32" s="31">
        <f t="shared" si="9"/>
        <v>774.62238951120526</v>
      </c>
      <c r="Q32" t="str">
        <f t="shared" si="10"/>
        <v>WT</v>
      </c>
      <c r="R32" s="32"/>
      <c r="S32" t="str">
        <f t="shared" si="11"/>
        <v>WT</v>
      </c>
    </row>
    <row r="33" spans="1:19" x14ac:dyDescent="0.2">
      <c r="A33" t="s">
        <v>469</v>
      </c>
      <c r="B33" s="29">
        <f t="shared" si="0"/>
        <v>45904.349876281456</v>
      </c>
      <c r="C33" s="29">
        <f t="shared" si="1"/>
        <v>45904.683209614792</v>
      </c>
      <c r="D33">
        <v>-31.981120467</v>
      </c>
      <c r="E33">
        <v>115.81719916199999</v>
      </c>
      <c r="F33">
        <v>1.371</v>
      </c>
      <c r="G33">
        <v>0</v>
      </c>
      <c r="H33" s="30">
        <f t="shared" si="2"/>
        <v>5.1903170999139547</v>
      </c>
      <c r="I33" s="31">
        <f t="shared" si="3"/>
        <v>118.25007986856117</v>
      </c>
      <c r="J33" t="b">
        <f t="shared" si="4"/>
        <v>1</v>
      </c>
      <c r="K33" t="b">
        <f t="shared" si="5"/>
        <v>0</v>
      </c>
      <c r="L33" t="b">
        <f t="shared" si="6"/>
        <v>0</v>
      </c>
      <c r="M33" t="b">
        <f t="shared" si="7"/>
        <v>1</v>
      </c>
      <c r="N33" t="b">
        <f t="shared" si="8"/>
        <v>0</v>
      </c>
      <c r="O33">
        <f t="shared" si="12"/>
        <v>5</v>
      </c>
      <c r="P33" s="31">
        <f t="shared" si="9"/>
        <v>774.62238951120526</v>
      </c>
      <c r="Q33" t="str">
        <f t="shared" si="10"/>
        <v>WT</v>
      </c>
      <c r="R33" s="32"/>
      <c r="S33" t="str">
        <f t="shared" si="11"/>
        <v>WT</v>
      </c>
    </row>
    <row r="34" spans="1:19" x14ac:dyDescent="0.2">
      <c r="A34" t="s">
        <v>470</v>
      </c>
      <c r="B34" s="29">
        <f t="shared" si="0"/>
        <v>45904.349936354571</v>
      </c>
      <c r="C34" s="29">
        <f t="shared" si="1"/>
        <v>45904.683269687906</v>
      </c>
      <c r="D34">
        <v>-31.981053420999999</v>
      </c>
      <c r="E34">
        <v>115.817197075</v>
      </c>
      <c r="F34">
        <v>1.4370000000000001</v>
      </c>
      <c r="G34">
        <v>0</v>
      </c>
      <c r="H34" s="30">
        <f t="shared" si="2"/>
        <v>5.1899361424148083</v>
      </c>
      <c r="I34" s="31">
        <f t="shared" si="3"/>
        <v>119.75168231012347</v>
      </c>
      <c r="J34" t="b">
        <f t="shared" si="4"/>
        <v>1</v>
      </c>
      <c r="K34" t="b">
        <f t="shared" si="5"/>
        <v>0</v>
      </c>
      <c r="L34" t="b">
        <f t="shared" si="6"/>
        <v>0</v>
      </c>
      <c r="M34" t="b">
        <f t="shared" si="7"/>
        <v>1</v>
      </c>
      <c r="N34" t="b">
        <f t="shared" si="8"/>
        <v>0</v>
      </c>
      <c r="O34">
        <f t="shared" si="12"/>
        <v>5</v>
      </c>
      <c r="P34" s="31">
        <f t="shared" si="9"/>
        <v>774.62238951120526</v>
      </c>
      <c r="Q34" t="str">
        <f t="shared" si="10"/>
        <v>WT</v>
      </c>
      <c r="R34" s="32"/>
      <c r="S34" t="str">
        <f t="shared" si="11"/>
        <v>WT</v>
      </c>
    </row>
    <row r="35" spans="1:19" x14ac:dyDescent="0.2">
      <c r="A35" t="s">
        <v>471</v>
      </c>
      <c r="B35" s="29">
        <f t="shared" si="0"/>
        <v>45904.349996423276</v>
      </c>
      <c r="C35" s="29">
        <f t="shared" si="1"/>
        <v>45904.683329756612</v>
      </c>
      <c r="D35">
        <v>-31.980992842999999</v>
      </c>
      <c r="E35">
        <v>115.817196909</v>
      </c>
      <c r="F35">
        <v>1.298</v>
      </c>
      <c r="G35">
        <v>0</v>
      </c>
      <c r="H35" s="30">
        <f t="shared" si="2"/>
        <v>5.1906012464314699</v>
      </c>
      <c r="I35" s="31">
        <f t="shared" si="3"/>
        <v>121.64103715287654</v>
      </c>
      <c r="J35" t="b">
        <f t="shared" si="4"/>
        <v>1</v>
      </c>
      <c r="K35" t="b">
        <f t="shared" si="5"/>
        <v>0</v>
      </c>
      <c r="L35" t="b">
        <f t="shared" si="6"/>
        <v>0</v>
      </c>
      <c r="M35" t="b">
        <f t="shared" si="7"/>
        <v>1</v>
      </c>
      <c r="N35" t="b">
        <f t="shared" si="8"/>
        <v>0</v>
      </c>
      <c r="O35">
        <f t="shared" si="12"/>
        <v>5</v>
      </c>
      <c r="P35" s="31">
        <f t="shared" si="9"/>
        <v>774.62238951120526</v>
      </c>
      <c r="Q35" t="str">
        <f t="shared" si="10"/>
        <v>WT</v>
      </c>
      <c r="R35" s="32"/>
      <c r="S35" t="str">
        <f t="shared" si="11"/>
        <v>WT</v>
      </c>
    </row>
    <row r="36" spans="1:19" x14ac:dyDescent="0.2">
      <c r="A36" t="s">
        <v>472</v>
      </c>
      <c r="B36" s="29">
        <f t="shared" si="0"/>
        <v>45904.350056499679</v>
      </c>
      <c r="C36" s="29">
        <f t="shared" si="1"/>
        <v>45904.683389833015</v>
      </c>
      <c r="D36">
        <v>-31.980933941</v>
      </c>
      <c r="E36">
        <v>115.817193825</v>
      </c>
      <c r="F36">
        <v>1.2629999999999999</v>
      </c>
      <c r="G36">
        <v>0</v>
      </c>
      <c r="H36" s="30">
        <f t="shared" si="2"/>
        <v>5.0068169133737683</v>
      </c>
      <c r="I36" s="31">
        <f t="shared" si="3"/>
        <v>123.54474211637188</v>
      </c>
      <c r="J36" t="b">
        <f t="shared" si="4"/>
        <v>1</v>
      </c>
      <c r="K36" t="b">
        <f t="shared" si="5"/>
        <v>0</v>
      </c>
      <c r="L36" t="b">
        <f t="shared" si="6"/>
        <v>0</v>
      </c>
      <c r="M36" t="b">
        <f t="shared" si="7"/>
        <v>1</v>
      </c>
      <c r="N36" t="b">
        <f t="shared" si="8"/>
        <v>0</v>
      </c>
      <c r="O36">
        <f t="shared" si="12"/>
        <v>5</v>
      </c>
      <c r="P36" s="31">
        <f t="shared" si="9"/>
        <v>774.62238951120526</v>
      </c>
      <c r="Q36" t="str">
        <f t="shared" si="10"/>
        <v>WT</v>
      </c>
      <c r="R36" s="32"/>
      <c r="S36" t="str">
        <f t="shared" si="11"/>
        <v>WT</v>
      </c>
    </row>
    <row r="37" spans="1:19" x14ac:dyDescent="0.2">
      <c r="A37" t="s">
        <v>473</v>
      </c>
      <c r="B37" s="29">
        <f t="shared" si="0"/>
        <v>45904.350114448949</v>
      </c>
      <c r="C37" s="29">
        <f t="shared" si="1"/>
        <v>45904.683447782285</v>
      </c>
      <c r="D37">
        <v>-31.980873495000001</v>
      </c>
      <c r="E37">
        <v>115.81719255500001</v>
      </c>
      <c r="F37">
        <v>1.343</v>
      </c>
      <c r="G37">
        <v>0</v>
      </c>
      <c r="H37" s="30">
        <f t="shared" si="2"/>
        <v>5.1899160258471966</v>
      </c>
      <c r="I37" s="31">
        <f t="shared" si="3"/>
        <v>125.98752660973896</v>
      </c>
      <c r="J37" t="b">
        <f t="shared" si="4"/>
        <v>1</v>
      </c>
      <c r="K37" t="b">
        <f t="shared" si="5"/>
        <v>0</v>
      </c>
      <c r="L37" t="b">
        <f t="shared" si="6"/>
        <v>0</v>
      </c>
      <c r="M37" t="b">
        <f t="shared" si="7"/>
        <v>1</v>
      </c>
      <c r="N37" t="b">
        <f t="shared" si="8"/>
        <v>0</v>
      </c>
      <c r="O37">
        <f t="shared" si="12"/>
        <v>5</v>
      </c>
      <c r="P37" s="31">
        <f t="shared" si="9"/>
        <v>774.62238951120526</v>
      </c>
      <c r="Q37" t="str">
        <f t="shared" si="10"/>
        <v>WT</v>
      </c>
      <c r="R37" s="32"/>
      <c r="S37" t="str">
        <f t="shared" si="11"/>
        <v>WT</v>
      </c>
    </row>
    <row r="38" spans="1:19" x14ac:dyDescent="0.2">
      <c r="A38" t="s">
        <v>474</v>
      </c>
      <c r="B38" s="29">
        <f t="shared" si="0"/>
        <v>45904.350174517422</v>
      </c>
      <c r="C38" s="29">
        <f t="shared" si="1"/>
        <v>45904.683507850757</v>
      </c>
      <c r="D38">
        <v>-31.980816900000001</v>
      </c>
      <c r="E38">
        <v>115.81719420500001</v>
      </c>
      <c r="F38">
        <v>1.2130000000000001</v>
      </c>
      <c r="G38">
        <v>0</v>
      </c>
      <c r="H38" s="30">
        <f t="shared" si="2"/>
        <v>5.2138522267341614</v>
      </c>
      <c r="I38" s="31">
        <f t="shared" si="3"/>
        <v>128.79156909607286</v>
      </c>
      <c r="J38" t="b">
        <f t="shared" si="4"/>
        <v>1</v>
      </c>
      <c r="K38" t="b">
        <f t="shared" si="5"/>
        <v>0</v>
      </c>
      <c r="L38" t="b">
        <f t="shared" si="6"/>
        <v>0</v>
      </c>
      <c r="M38" t="b">
        <f t="shared" si="7"/>
        <v>1</v>
      </c>
      <c r="N38" t="b">
        <f t="shared" si="8"/>
        <v>0</v>
      </c>
      <c r="O38">
        <f t="shared" si="12"/>
        <v>5</v>
      </c>
      <c r="P38" s="31">
        <f t="shared" si="9"/>
        <v>774.62238951120526</v>
      </c>
      <c r="Q38" t="str">
        <f t="shared" si="10"/>
        <v>WT</v>
      </c>
      <c r="R38" s="32"/>
      <c r="S38" t="str">
        <f t="shared" si="11"/>
        <v>WT</v>
      </c>
    </row>
    <row r="39" spans="1:19" x14ac:dyDescent="0.2">
      <c r="A39" t="s">
        <v>475</v>
      </c>
      <c r="B39" s="29">
        <f t="shared" si="0"/>
        <v>45904.350234862934</v>
      </c>
      <c r="C39" s="29">
        <f t="shared" si="1"/>
        <v>45904.683568196269</v>
      </c>
      <c r="D39">
        <v>-31.980755396999999</v>
      </c>
      <c r="E39">
        <v>115.817193777</v>
      </c>
      <c r="F39">
        <v>1.3120000000000001</v>
      </c>
      <c r="G39">
        <v>0</v>
      </c>
      <c r="H39" s="30">
        <f t="shared" si="2"/>
        <v>5.0178583944216371</v>
      </c>
      <c r="I39" s="31">
        <f t="shared" si="3"/>
        <v>131.92835922800003</v>
      </c>
      <c r="J39" t="b">
        <f t="shared" si="4"/>
        <v>1</v>
      </c>
      <c r="K39" t="b">
        <f t="shared" si="5"/>
        <v>0</v>
      </c>
      <c r="L39" t="b">
        <f t="shared" si="6"/>
        <v>0</v>
      </c>
      <c r="M39" t="b">
        <f t="shared" si="7"/>
        <v>1</v>
      </c>
      <c r="N39" t="b">
        <f t="shared" si="8"/>
        <v>0</v>
      </c>
      <c r="O39">
        <f t="shared" si="12"/>
        <v>5</v>
      </c>
      <c r="P39" s="31">
        <f t="shared" si="9"/>
        <v>774.62238951120526</v>
      </c>
      <c r="Q39" t="str">
        <f t="shared" si="10"/>
        <v>WT</v>
      </c>
      <c r="R39" s="32"/>
      <c r="S39" t="str">
        <f t="shared" si="11"/>
        <v>WT</v>
      </c>
    </row>
    <row r="40" spans="1:19" x14ac:dyDescent="0.2">
      <c r="A40" t="s">
        <v>476</v>
      </c>
      <c r="B40" s="29">
        <f t="shared" si="0"/>
        <v>45904.350292939998</v>
      </c>
      <c r="C40" s="29">
        <f t="shared" si="1"/>
        <v>45904.683626273334</v>
      </c>
      <c r="D40">
        <v>-31.980694812999999</v>
      </c>
      <c r="E40">
        <v>115.817193217</v>
      </c>
      <c r="F40">
        <v>1.343</v>
      </c>
      <c r="G40">
        <v>0</v>
      </c>
      <c r="H40" s="30">
        <f t="shared" si="2"/>
        <v>5.1809100899845362</v>
      </c>
      <c r="I40" s="31">
        <f t="shared" si="3"/>
        <v>135.27431161383242</v>
      </c>
      <c r="J40" t="b">
        <f t="shared" si="4"/>
        <v>1</v>
      </c>
      <c r="K40" t="b">
        <f t="shared" si="5"/>
        <v>0</v>
      </c>
      <c r="L40" t="b">
        <f t="shared" si="6"/>
        <v>0</v>
      </c>
      <c r="M40" t="b">
        <f t="shared" si="7"/>
        <v>1</v>
      </c>
      <c r="N40" t="b">
        <f t="shared" si="8"/>
        <v>0</v>
      </c>
      <c r="O40">
        <f t="shared" si="12"/>
        <v>5</v>
      </c>
      <c r="P40" s="31">
        <f t="shared" si="9"/>
        <v>774.62238951120526</v>
      </c>
      <c r="Q40" t="str">
        <f t="shared" si="10"/>
        <v>WT</v>
      </c>
      <c r="R40" s="32"/>
      <c r="S40" t="str">
        <f t="shared" si="11"/>
        <v>WT</v>
      </c>
    </row>
    <row r="41" spans="1:19" x14ac:dyDescent="0.2">
      <c r="A41" t="s">
        <v>477</v>
      </c>
      <c r="B41" s="29">
        <f t="shared" si="0"/>
        <v>45904.350352904235</v>
      </c>
      <c r="C41" s="29">
        <f t="shared" si="1"/>
        <v>45904.683686237571</v>
      </c>
      <c r="D41">
        <v>-31.980640018999999</v>
      </c>
      <c r="E41">
        <v>115.817193886</v>
      </c>
      <c r="F41">
        <v>1.1759999999999999</v>
      </c>
      <c r="G41">
        <v>0</v>
      </c>
      <c r="H41" s="30">
        <f t="shared" si="2"/>
        <v>5.0067697651684284</v>
      </c>
      <c r="I41" s="31">
        <f t="shared" si="3"/>
        <v>138.60555236569587</v>
      </c>
      <c r="J41" t="b">
        <f t="shared" si="4"/>
        <v>1</v>
      </c>
      <c r="K41" t="b">
        <f t="shared" si="5"/>
        <v>0</v>
      </c>
      <c r="L41" t="b">
        <f t="shared" si="6"/>
        <v>0</v>
      </c>
      <c r="M41" t="b">
        <f t="shared" si="7"/>
        <v>1</v>
      </c>
      <c r="N41" t="b">
        <f t="shared" si="8"/>
        <v>0</v>
      </c>
      <c r="O41">
        <f t="shared" si="12"/>
        <v>5</v>
      </c>
      <c r="P41" s="31">
        <f t="shared" si="9"/>
        <v>774.62238951120526</v>
      </c>
      <c r="Q41" t="str">
        <f t="shared" si="10"/>
        <v>WT</v>
      </c>
      <c r="R41" s="32"/>
      <c r="S41" t="str">
        <f t="shared" si="11"/>
        <v>WT</v>
      </c>
    </row>
    <row r="42" spans="1:19" x14ac:dyDescent="0.2">
      <c r="A42" t="s">
        <v>478</v>
      </c>
      <c r="B42" s="29">
        <f t="shared" si="0"/>
        <v>45904.35041085296</v>
      </c>
      <c r="C42" s="29">
        <f t="shared" si="1"/>
        <v>45904.683744186295</v>
      </c>
      <c r="D42">
        <v>-31.980582382000001</v>
      </c>
      <c r="E42">
        <v>115.81719835600001</v>
      </c>
      <c r="F42">
        <v>1.2829999999999999</v>
      </c>
      <c r="G42">
        <v>0</v>
      </c>
      <c r="H42" s="30">
        <f t="shared" si="2"/>
        <v>5.1681291544809937</v>
      </c>
      <c r="I42" s="31">
        <f t="shared" si="3"/>
        <v>142.59562969894611</v>
      </c>
      <c r="J42" t="b">
        <f t="shared" si="4"/>
        <v>1</v>
      </c>
      <c r="K42" t="b">
        <f t="shared" si="5"/>
        <v>0</v>
      </c>
      <c r="L42" t="b">
        <f t="shared" si="6"/>
        <v>0</v>
      </c>
      <c r="M42" t="b">
        <f t="shared" si="7"/>
        <v>1</v>
      </c>
      <c r="N42" t="b">
        <f t="shared" si="8"/>
        <v>0</v>
      </c>
      <c r="O42">
        <f t="shared" si="12"/>
        <v>5</v>
      </c>
      <c r="P42" s="31">
        <f t="shared" si="9"/>
        <v>774.62238951120526</v>
      </c>
      <c r="Q42" t="str">
        <f t="shared" si="10"/>
        <v>WT</v>
      </c>
      <c r="R42" s="32"/>
      <c r="S42" t="str">
        <f t="shared" si="11"/>
        <v>WT</v>
      </c>
    </row>
    <row r="43" spans="1:19" x14ac:dyDescent="0.2">
      <c r="A43" t="s">
        <v>479</v>
      </c>
      <c r="B43" s="29">
        <f t="shared" si="0"/>
        <v>45904.350470669269</v>
      </c>
      <c r="C43" s="29">
        <f t="shared" si="1"/>
        <v>45904.683804002605</v>
      </c>
      <c r="D43">
        <v>-31.980523372</v>
      </c>
      <c r="E43">
        <v>115.81720597100001</v>
      </c>
      <c r="F43">
        <v>1.2769999999999999</v>
      </c>
      <c r="G43">
        <v>0</v>
      </c>
      <c r="H43" s="30">
        <f t="shared" si="2"/>
        <v>5.0203616498038173</v>
      </c>
      <c r="I43" s="31">
        <f t="shared" si="3"/>
        <v>147.08660001976119</v>
      </c>
      <c r="J43" t="b">
        <f t="shared" si="4"/>
        <v>1</v>
      </c>
      <c r="K43" t="b">
        <f t="shared" si="5"/>
        <v>0</v>
      </c>
      <c r="L43" t="b">
        <f t="shared" si="6"/>
        <v>0</v>
      </c>
      <c r="M43" t="b">
        <f t="shared" si="7"/>
        <v>1</v>
      </c>
      <c r="N43" t="b">
        <f t="shared" si="8"/>
        <v>0</v>
      </c>
      <c r="O43">
        <f t="shared" si="12"/>
        <v>5</v>
      </c>
      <c r="P43" s="31">
        <f t="shared" si="9"/>
        <v>774.62238951120526</v>
      </c>
      <c r="Q43" t="str">
        <f t="shared" si="10"/>
        <v>WT</v>
      </c>
      <c r="R43" s="32"/>
      <c r="S43" t="str">
        <f t="shared" si="11"/>
        <v>WT</v>
      </c>
    </row>
    <row r="44" spans="1:19" x14ac:dyDescent="0.2">
      <c r="A44" t="s">
        <v>480</v>
      </c>
      <c r="B44" s="29">
        <f t="shared" si="0"/>
        <v>45904.350528775307</v>
      </c>
      <c r="C44" s="29">
        <f t="shared" si="1"/>
        <v>45904.683862108643</v>
      </c>
      <c r="D44">
        <v>-31.980467346000001</v>
      </c>
      <c r="E44">
        <v>115.81720898099999</v>
      </c>
      <c r="F44">
        <v>1.242</v>
      </c>
      <c r="G44">
        <v>0</v>
      </c>
      <c r="H44" s="30">
        <f t="shared" si="2"/>
        <v>5.0080974586308002</v>
      </c>
      <c r="I44" s="31">
        <f t="shared" si="3"/>
        <v>151.18563871153313</v>
      </c>
      <c r="J44" t="b">
        <f t="shared" si="4"/>
        <v>1</v>
      </c>
      <c r="K44" t="b">
        <f t="shared" si="5"/>
        <v>0</v>
      </c>
      <c r="L44" t="b">
        <f t="shared" si="6"/>
        <v>0</v>
      </c>
      <c r="M44" t="b">
        <f t="shared" si="7"/>
        <v>1</v>
      </c>
      <c r="N44" t="b">
        <f t="shared" si="8"/>
        <v>0</v>
      </c>
      <c r="O44">
        <f t="shared" si="12"/>
        <v>5</v>
      </c>
      <c r="P44" s="31">
        <f t="shared" si="9"/>
        <v>774.62238951120526</v>
      </c>
      <c r="Q44" t="str">
        <f t="shared" si="10"/>
        <v>WT</v>
      </c>
      <c r="R44" s="32"/>
      <c r="S44" t="str">
        <f t="shared" si="11"/>
        <v>WT</v>
      </c>
    </row>
    <row r="45" spans="1:19" x14ac:dyDescent="0.2">
      <c r="A45" t="s">
        <v>481</v>
      </c>
      <c r="B45" s="29">
        <f t="shared" si="0"/>
        <v>45904.350586739398</v>
      </c>
      <c r="C45" s="29">
        <f t="shared" si="1"/>
        <v>45904.683920072734</v>
      </c>
      <c r="D45">
        <v>-31.980412713</v>
      </c>
      <c r="E45">
        <v>115.81721691</v>
      </c>
      <c r="F45">
        <v>1.222</v>
      </c>
      <c r="G45">
        <v>0</v>
      </c>
      <c r="H45" s="30">
        <f t="shared" si="2"/>
        <v>5.0073921214789152</v>
      </c>
      <c r="I45" s="31">
        <f t="shared" si="3"/>
        <v>155.67530085523092</v>
      </c>
      <c r="J45" t="b">
        <f t="shared" si="4"/>
        <v>1</v>
      </c>
      <c r="K45" t="b">
        <f t="shared" si="5"/>
        <v>0</v>
      </c>
      <c r="L45" t="b">
        <f t="shared" si="6"/>
        <v>0</v>
      </c>
      <c r="M45" t="b">
        <f t="shared" si="7"/>
        <v>1</v>
      </c>
      <c r="N45" t="b">
        <f t="shared" si="8"/>
        <v>0</v>
      </c>
      <c r="O45">
        <f t="shared" si="12"/>
        <v>5</v>
      </c>
      <c r="P45" s="31">
        <f t="shared" si="9"/>
        <v>774.62238951120526</v>
      </c>
      <c r="Q45" t="str">
        <f t="shared" si="10"/>
        <v>WT</v>
      </c>
      <c r="R45" s="32"/>
      <c r="S45" t="str">
        <f t="shared" si="11"/>
        <v>WT</v>
      </c>
    </row>
    <row r="46" spans="1:19" x14ac:dyDescent="0.2">
      <c r="A46" t="s">
        <v>482</v>
      </c>
      <c r="B46" s="29">
        <f t="shared" si="0"/>
        <v>45904.350644695325</v>
      </c>
      <c r="C46" s="29">
        <f t="shared" si="1"/>
        <v>45904.683978028661</v>
      </c>
      <c r="D46">
        <v>-31.980354792</v>
      </c>
      <c r="E46">
        <v>115.81722185300001</v>
      </c>
      <c r="F46">
        <v>1.29</v>
      </c>
      <c r="G46">
        <v>0</v>
      </c>
      <c r="H46" s="30">
        <f t="shared" si="2"/>
        <v>5.1788368262350559</v>
      </c>
      <c r="I46" s="31">
        <f t="shared" si="3"/>
        <v>160.31220124785762</v>
      </c>
      <c r="J46" t="b">
        <f t="shared" si="4"/>
        <v>1</v>
      </c>
      <c r="K46" t="b">
        <f t="shared" si="5"/>
        <v>0</v>
      </c>
      <c r="L46" t="b">
        <f t="shared" si="6"/>
        <v>0</v>
      </c>
      <c r="M46" t="b">
        <f t="shared" si="7"/>
        <v>1</v>
      </c>
      <c r="N46" t="b">
        <f t="shared" si="8"/>
        <v>0</v>
      </c>
      <c r="O46">
        <f t="shared" si="12"/>
        <v>5</v>
      </c>
      <c r="P46" s="31">
        <f t="shared" si="9"/>
        <v>774.62238951120526</v>
      </c>
      <c r="Q46" t="str">
        <f t="shared" si="10"/>
        <v>WT</v>
      </c>
      <c r="R46" s="32"/>
      <c r="S46" t="str">
        <f t="shared" si="11"/>
        <v>WT</v>
      </c>
    </row>
    <row r="47" spans="1:19" x14ac:dyDescent="0.2">
      <c r="A47" t="s">
        <v>483</v>
      </c>
      <c r="B47" s="29">
        <f t="shared" si="0"/>
        <v>45904.350704635566</v>
      </c>
      <c r="C47" s="29">
        <f t="shared" si="1"/>
        <v>45904.684037968902</v>
      </c>
      <c r="D47">
        <v>-31.980297698000001</v>
      </c>
      <c r="E47">
        <v>115.817219724</v>
      </c>
      <c r="F47">
        <v>1.226</v>
      </c>
      <c r="G47">
        <v>0</v>
      </c>
      <c r="H47" s="30">
        <f t="shared" si="2"/>
        <v>5.0194199429824948</v>
      </c>
      <c r="I47" s="31">
        <f t="shared" si="3"/>
        <v>164.52899288127642</v>
      </c>
      <c r="J47" t="b">
        <f t="shared" si="4"/>
        <v>1</v>
      </c>
      <c r="K47" t="b">
        <f t="shared" si="5"/>
        <v>0</v>
      </c>
      <c r="L47" t="b">
        <f t="shared" si="6"/>
        <v>0</v>
      </c>
      <c r="M47" t="b">
        <f t="shared" si="7"/>
        <v>1</v>
      </c>
      <c r="N47" t="b">
        <f t="shared" si="8"/>
        <v>0</v>
      </c>
      <c r="O47">
        <f t="shared" si="12"/>
        <v>5</v>
      </c>
      <c r="P47" s="31">
        <f t="shared" si="9"/>
        <v>774.62238951120526</v>
      </c>
      <c r="Q47" t="str">
        <f t="shared" si="10"/>
        <v>WT</v>
      </c>
      <c r="R47" s="32"/>
      <c r="S47" t="str">
        <f t="shared" si="11"/>
        <v>WT</v>
      </c>
    </row>
    <row r="48" spans="1:19" x14ac:dyDescent="0.2">
      <c r="A48" t="s">
        <v>484</v>
      </c>
      <c r="B48" s="29">
        <f t="shared" si="0"/>
        <v>45904.350762730704</v>
      </c>
      <c r="C48" s="29">
        <f t="shared" si="1"/>
        <v>45904.68409606404</v>
      </c>
      <c r="D48">
        <v>-31.980244221</v>
      </c>
      <c r="E48">
        <v>115.817215332</v>
      </c>
      <c r="F48">
        <v>1.1879999999999999</v>
      </c>
      <c r="G48">
        <v>0</v>
      </c>
      <c r="H48" s="30">
        <f t="shared" si="2"/>
        <v>5.2008324069902301</v>
      </c>
      <c r="I48" s="31">
        <f t="shared" si="3"/>
        <v>168.4422797647305</v>
      </c>
      <c r="J48" t="b">
        <f t="shared" si="4"/>
        <v>1</v>
      </c>
      <c r="K48" t="b">
        <f t="shared" si="5"/>
        <v>0</v>
      </c>
      <c r="L48" t="b">
        <f t="shared" si="6"/>
        <v>0</v>
      </c>
      <c r="M48" t="b">
        <f t="shared" si="7"/>
        <v>1</v>
      </c>
      <c r="N48" t="b">
        <f t="shared" si="8"/>
        <v>0</v>
      </c>
      <c r="O48">
        <f t="shared" si="12"/>
        <v>5</v>
      </c>
      <c r="P48" s="31">
        <f t="shared" si="9"/>
        <v>774.62238951120526</v>
      </c>
      <c r="Q48" t="str">
        <f t="shared" si="10"/>
        <v>WT</v>
      </c>
      <c r="R48" s="32"/>
      <c r="S48" t="str">
        <f t="shared" si="11"/>
        <v>WT</v>
      </c>
    </row>
    <row r="49" spans="1:19" x14ac:dyDescent="0.2">
      <c r="A49" t="s">
        <v>485</v>
      </c>
      <c r="B49" s="29">
        <f t="shared" si="0"/>
        <v>45904.350822925524</v>
      </c>
      <c r="C49" s="29">
        <f t="shared" si="1"/>
        <v>45904.68415625886</v>
      </c>
      <c r="D49">
        <v>-31.980182020000001</v>
      </c>
      <c r="E49">
        <v>115.817209722</v>
      </c>
      <c r="F49">
        <v>1.3340000000000001</v>
      </c>
      <c r="G49">
        <v>0</v>
      </c>
      <c r="H49" s="30">
        <f t="shared" si="2"/>
        <v>5.222254665568471</v>
      </c>
      <c r="I49" s="31">
        <f t="shared" si="3"/>
        <v>173.10896473280087</v>
      </c>
      <c r="J49" t="b">
        <f t="shared" si="4"/>
        <v>1</v>
      </c>
      <c r="K49" t="b">
        <f t="shared" si="5"/>
        <v>0</v>
      </c>
      <c r="L49" t="b">
        <f t="shared" si="6"/>
        <v>0</v>
      </c>
      <c r="M49" t="b">
        <f t="shared" si="7"/>
        <v>1</v>
      </c>
      <c r="N49" t="b">
        <f t="shared" si="8"/>
        <v>0</v>
      </c>
      <c r="O49">
        <f t="shared" si="12"/>
        <v>5</v>
      </c>
      <c r="P49" s="31">
        <f t="shared" si="9"/>
        <v>774.62238951120526</v>
      </c>
      <c r="Q49" t="str">
        <f t="shared" si="10"/>
        <v>WT</v>
      </c>
      <c r="R49" s="32"/>
      <c r="S49" t="str">
        <f t="shared" si="11"/>
        <v>WT</v>
      </c>
    </row>
    <row r="50" spans="1:19" x14ac:dyDescent="0.2">
      <c r="A50" t="s">
        <v>486</v>
      </c>
      <c r="B50" s="29">
        <f t="shared" si="0"/>
        <v>45904.350883368286</v>
      </c>
      <c r="C50" s="29">
        <f t="shared" si="1"/>
        <v>45904.684216701622</v>
      </c>
      <c r="D50">
        <v>-31.980119470999998</v>
      </c>
      <c r="E50">
        <v>115.81720608800001</v>
      </c>
      <c r="F50">
        <v>1.333</v>
      </c>
      <c r="G50">
        <v>0</v>
      </c>
      <c r="H50" s="30">
        <f t="shared" si="2"/>
        <v>5.0081068882718682</v>
      </c>
      <c r="I50" s="31">
        <f t="shared" si="3"/>
        <v>178.07497796385772</v>
      </c>
      <c r="J50" t="b">
        <f t="shared" si="4"/>
        <v>1</v>
      </c>
      <c r="K50" t="b">
        <f t="shared" si="5"/>
        <v>0</v>
      </c>
      <c r="L50" t="b">
        <f t="shared" si="6"/>
        <v>0</v>
      </c>
      <c r="M50" t="b">
        <f t="shared" si="7"/>
        <v>1</v>
      </c>
      <c r="N50" t="b">
        <f t="shared" si="8"/>
        <v>0</v>
      </c>
      <c r="O50">
        <f t="shared" si="12"/>
        <v>5</v>
      </c>
      <c r="P50" s="31">
        <f t="shared" si="9"/>
        <v>774.62238951120526</v>
      </c>
      <c r="Q50" t="str">
        <f t="shared" si="10"/>
        <v>WT</v>
      </c>
      <c r="R50" s="32"/>
      <c r="S50" t="str">
        <f t="shared" si="11"/>
        <v>WT</v>
      </c>
    </row>
    <row r="51" spans="1:19" x14ac:dyDescent="0.2">
      <c r="A51" t="s">
        <v>487</v>
      </c>
      <c r="B51" s="29">
        <f t="shared" si="0"/>
        <v>45904.350941332486</v>
      </c>
      <c r="C51" s="29">
        <f t="shared" si="1"/>
        <v>45904.684274665822</v>
      </c>
      <c r="D51">
        <v>-31.980057081999998</v>
      </c>
      <c r="E51">
        <v>115.817200563</v>
      </c>
      <c r="F51">
        <v>1.389</v>
      </c>
      <c r="G51">
        <v>0</v>
      </c>
      <c r="H51" s="30">
        <f t="shared" si="2"/>
        <v>5.1690777763724327</v>
      </c>
      <c r="I51" s="31">
        <f t="shared" si="3"/>
        <v>183.04424082481353</v>
      </c>
      <c r="J51" t="b">
        <f t="shared" si="4"/>
        <v>1</v>
      </c>
      <c r="K51" t="b">
        <f t="shared" si="5"/>
        <v>0</v>
      </c>
      <c r="L51" t="b">
        <f t="shared" si="6"/>
        <v>0</v>
      </c>
      <c r="M51" t="b">
        <f t="shared" si="7"/>
        <v>1</v>
      </c>
      <c r="N51" t="b">
        <f t="shared" si="8"/>
        <v>0</v>
      </c>
      <c r="O51">
        <f t="shared" si="12"/>
        <v>5</v>
      </c>
      <c r="P51" s="31">
        <f t="shared" si="9"/>
        <v>774.62238951120526</v>
      </c>
      <c r="Q51" t="str">
        <f t="shared" si="10"/>
        <v>WT</v>
      </c>
      <c r="R51" s="32"/>
      <c r="S51" t="str">
        <f t="shared" si="11"/>
        <v>WT</v>
      </c>
    </row>
    <row r="52" spans="1:19" x14ac:dyDescent="0.2">
      <c r="A52" t="s">
        <v>488</v>
      </c>
      <c r="B52" s="29">
        <f t="shared" si="0"/>
        <v>45904.351001159775</v>
      </c>
      <c r="C52" s="29">
        <f t="shared" si="1"/>
        <v>45904.684334493111</v>
      </c>
      <c r="D52">
        <v>-31.979995985999999</v>
      </c>
      <c r="E52">
        <v>115.817203264</v>
      </c>
      <c r="F52">
        <v>1.3149999999999999</v>
      </c>
      <c r="G52">
        <v>0</v>
      </c>
      <c r="H52" s="30">
        <f t="shared" si="2"/>
        <v>5.0098978914320469</v>
      </c>
      <c r="I52" s="31">
        <f t="shared" si="3"/>
        <v>188.50386337948314</v>
      </c>
      <c r="J52" t="b">
        <f t="shared" si="4"/>
        <v>1</v>
      </c>
      <c r="K52" t="b">
        <f t="shared" si="5"/>
        <v>0</v>
      </c>
      <c r="L52" t="b">
        <f t="shared" si="6"/>
        <v>0</v>
      </c>
      <c r="M52" t="b">
        <f t="shared" si="7"/>
        <v>1</v>
      </c>
      <c r="N52" t="b">
        <f t="shared" si="8"/>
        <v>0</v>
      </c>
      <c r="O52">
        <f t="shared" si="12"/>
        <v>5</v>
      </c>
      <c r="P52" s="31">
        <f t="shared" si="9"/>
        <v>774.62238951120526</v>
      </c>
      <c r="Q52" t="str">
        <f t="shared" si="10"/>
        <v>WT</v>
      </c>
      <c r="R52" s="32"/>
      <c r="S52" t="str">
        <f t="shared" si="11"/>
        <v>WT</v>
      </c>
    </row>
    <row r="53" spans="1:19" x14ac:dyDescent="0.2">
      <c r="A53" t="s">
        <v>489</v>
      </c>
      <c r="B53" s="29">
        <f t="shared" si="0"/>
        <v>45904.351059144705</v>
      </c>
      <c r="C53" s="29">
        <f t="shared" si="1"/>
        <v>45904.684392478041</v>
      </c>
      <c r="D53">
        <v>-31.979939843</v>
      </c>
      <c r="E53">
        <v>115.817202292</v>
      </c>
      <c r="F53">
        <v>1.246</v>
      </c>
      <c r="G53">
        <v>0</v>
      </c>
      <c r="H53" s="30">
        <f t="shared" si="2"/>
        <v>5.0075090490281582</v>
      </c>
      <c r="I53" s="31">
        <f t="shared" si="3"/>
        <v>193.3996688956575</v>
      </c>
      <c r="J53" t="b">
        <f t="shared" si="4"/>
        <v>1</v>
      </c>
      <c r="K53" t="b">
        <f t="shared" si="5"/>
        <v>0</v>
      </c>
      <c r="L53" t="b">
        <f t="shared" si="6"/>
        <v>0</v>
      </c>
      <c r="M53" t="b">
        <f t="shared" si="7"/>
        <v>1</v>
      </c>
      <c r="N53" t="b">
        <f t="shared" si="8"/>
        <v>0</v>
      </c>
      <c r="O53">
        <f t="shared" si="12"/>
        <v>5</v>
      </c>
      <c r="P53" s="31">
        <f t="shared" si="9"/>
        <v>774.62238951120526</v>
      </c>
      <c r="Q53" t="str">
        <f t="shared" si="10"/>
        <v>WT</v>
      </c>
      <c r="R53" s="32"/>
      <c r="S53" t="str">
        <f t="shared" si="11"/>
        <v>WT</v>
      </c>
    </row>
    <row r="54" spans="1:19" x14ac:dyDescent="0.2">
      <c r="A54" t="s">
        <v>490</v>
      </c>
      <c r="B54" s="29">
        <f t="shared" si="0"/>
        <v>45904.351117101985</v>
      </c>
      <c r="C54" s="29">
        <f t="shared" si="1"/>
        <v>45904.684450435321</v>
      </c>
      <c r="D54">
        <v>-31.979882476</v>
      </c>
      <c r="E54">
        <v>115.817200927</v>
      </c>
      <c r="F54">
        <v>1.274</v>
      </c>
      <c r="G54">
        <v>0</v>
      </c>
      <c r="H54" s="30">
        <f t="shared" si="2"/>
        <v>5.1785489078611135</v>
      </c>
      <c r="I54" s="31">
        <f t="shared" si="3"/>
        <v>198.45983574105219</v>
      </c>
      <c r="J54" t="b">
        <f t="shared" si="4"/>
        <v>1</v>
      </c>
      <c r="K54" t="b">
        <f t="shared" si="5"/>
        <v>0</v>
      </c>
      <c r="L54" t="b">
        <f t="shared" si="6"/>
        <v>0</v>
      </c>
      <c r="M54" t="b">
        <f t="shared" si="7"/>
        <v>1</v>
      </c>
      <c r="N54" t="b">
        <f t="shared" si="8"/>
        <v>0</v>
      </c>
      <c r="O54">
        <f t="shared" si="12"/>
        <v>5</v>
      </c>
      <c r="P54" s="31">
        <f t="shared" si="9"/>
        <v>774.62238951120526</v>
      </c>
      <c r="Q54" t="str">
        <f t="shared" si="10"/>
        <v>WT</v>
      </c>
      <c r="R54" s="32"/>
      <c r="S54" t="str">
        <f t="shared" si="11"/>
        <v>WT</v>
      </c>
    </row>
    <row r="55" spans="1:19" x14ac:dyDescent="0.2">
      <c r="A55" t="s">
        <v>491</v>
      </c>
      <c r="B55" s="29">
        <f t="shared" si="0"/>
        <v>45904.351177038894</v>
      </c>
      <c r="C55" s="29">
        <f t="shared" si="1"/>
        <v>45904.68451037223</v>
      </c>
      <c r="D55">
        <v>-31.979820982</v>
      </c>
      <c r="E55">
        <v>115.81719649999999</v>
      </c>
      <c r="F55">
        <v>1.323</v>
      </c>
      <c r="G55">
        <v>0</v>
      </c>
      <c r="H55" s="30">
        <f t="shared" si="2"/>
        <v>5.201323376968503</v>
      </c>
      <c r="I55" s="31">
        <f t="shared" si="3"/>
        <v>203.80747302941859</v>
      </c>
      <c r="J55" t="b">
        <f t="shared" si="4"/>
        <v>1</v>
      </c>
      <c r="K55" t="b">
        <f t="shared" si="5"/>
        <v>0</v>
      </c>
      <c r="L55" t="b">
        <f t="shared" si="6"/>
        <v>0</v>
      </c>
      <c r="M55" t="b">
        <f t="shared" si="7"/>
        <v>1</v>
      </c>
      <c r="N55" t="b">
        <f t="shared" si="8"/>
        <v>0</v>
      </c>
      <c r="O55">
        <f t="shared" si="12"/>
        <v>5</v>
      </c>
      <c r="P55" s="31">
        <f t="shared" si="9"/>
        <v>774.62238951120526</v>
      </c>
      <c r="Q55" t="str">
        <f t="shared" si="10"/>
        <v>WT</v>
      </c>
      <c r="R55" s="32"/>
      <c r="S55" t="str">
        <f t="shared" si="11"/>
        <v>WT</v>
      </c>
    </row>
    <row r="56" spans="1:19" x14ac:dyDescent="0.2">
      <c r="A56" t="s">
        <v>492</v>
      </c>
      <c r="B56" s="29">
        <f t="shared" si="0"/>
        <v>45904.351237239396</v>
      </c>
      <c r="C56" s="29">
        <f t="shared" si="1"/>
        <v>45904.684570572732</v>
      </c>
      <c r="D56">
        <v>-31.979759643000001</v>
      </c>
      <c r="E56">
        <v>115.817197068</v>
      </c>
      <c r="F56">
        <v>1.3109999999999999</v>
      </c>
      <c r="G56">
        <v>0</v>
      </c>
      <c r="H56" s="30">
        <f t="shared" si="2"/>
        <v>5.1911085611209273</v>
      </c>
      <c r="I56" s="31">
        <f t="shared" si="3"/>
        <v>209.48827036776771</v>
      </c>
      <c r="J56" t="b">
        <f t="shared" si="4"/>
        <v>1</v>
      </c>
      <c r="K56" t="b">
        <f t="shared" si="5"/>
        <v>0</v>
      </c>
      <c r="L56" t="b">
        <f t="shared" si="6"/>
        <v>0</v>
      </c>
      <c r="M56" t="b">
        <f t="shared" si="7"/>
        <v>1</v>
      </c>
      <c r="N56" t="b">
        <f t="shared" si="8"/>
        <v>0</v>
      </c>
      <c r="O56">
        <f t="shared" si="12"/>
        <v>5</v>
      </c>
      <c r="P56" s="31">
        <f t="shared" si="9"/>
        <v>774.62238951120526</v>
      </c>
      <c r="Q56" t="str">
        <f t="shared" si="10"/>
        <v>WT</v>
      </c>
      <c r="R56" s="32"/>
      <c r="S56" t="str">
        <f t="shared" si="11"/>
        <v>WT</v>
      </c>
    </row>
    <row r="57" spans="1:19" x14ac:dyDescent="0.2">
      <c r="A57" t="s">
        <v>493</v>
      </c>
      <c r="B57" s="29">
        <f t="shared" si="0"/>
        <v>45904.351297321671</v>
      </c>
      <c r="C57" s="29">
        <f t="shared" si="1"/>
        <v>45904.684630655007</v>
      </c>
      <c r="D57">
        <v>-31.979699705000002</v>
      </c>
      <c r="E57">
        <v>115.81719617500001</v>
      </c>
      <c r="F57">
        <v>1.284</v>
      </c>
      <c r="G57">
        <v>0</v>
      </c>
      <c r="H57" s="30">
        <f t="shared" si="2"/>
        <v>5.2233950234949589</v>
      </c>
      <c r="I57" s="31">
        <f t="shared" si="3"/>
        <v>215.02984264108284</v>
      </c>
      <c r="J57" t="b">
        <f t="shared" si="4"/>
        <v>1</v>
      </c>
      <c r="K57" t="b">
        <f t="shared" si="5"/>
        <v>0</v>
      </c>
      <c r="L57" t="b">
        <f t="shared" si="6"/>
        <v>0</v>
      </c>
      <c r="M57" t="b">
        <f t="shared" si="7"/>
        <v>1</v>
      </c>
      <c r="N57" t="b">
        <f t="shared" si="8"/>
        <v>0</v>
      </c>
      <c r="O57">
        <f t="shared" si="12"/>
        <v>5</v>
      </c>
      <c r="P57" s="31">
        <f t="shared" si="9"/>
        <v>774.62238951120526</v>
      </c>
      <c r="Q57" t="str">
        <f t="shared" si="10"/>
        <v>WT</v>
      </c>
      <c r="R57" s="32"/>
      <c r="S57" t="str">
        <f t="shared" si="11"/>
        <v>WT</v>
      </c>
    </row>
    <row r="58" spans="1:19" x14ac:dyDescent="0.2">
      <c r="A58" t="s">
        <v>494</v>
      </c>
      <c r="B58" s="29">
        <f t="shared" si="0"/>
        <v>45904.351357777632</v>
      </c>
      <c r="C58" s="29">
        <f t="shared" si="1"/>
        <v>45904.684691110968</v>
      </c>
      <c r="D58">
        <v>-31.979639245000001</v>
      </c>
      <c r="E58">
        <v>115.817196212</v>
      </c>
      <c r="F58">
        <v>1.2869999999999999</v>
      </c>
      <c r="G58">
        <v>0</v>
      </c>
      <c r="H58" s="30">
        <f t="shared" si="2"/>
        <v>5.1805756520479918</v>
      </c>
      <c r="I58" s="31">
        <f t="shared" si="3"/>
        <v>220.72899184745702</v>
      </c>
      <c r="J58" t="b">
        <f t="shared" si="4"/>
        <v>1</v>
      </c>
      <c r="K58" t="b">
        <f t="shared" si="5"/>
        <v>0</v>
      </c>
      <c r="L58" t="b">
        <f t="shared" si="6"/>
        <v>0</v>
      </c>
      <c r="M58" t="b">
        <f t="shared" si="7"/>
        <v>1</v>
      </c>
      <c r="N58" t="b">
        <f t="shared" si="8"/>
        <v>0</v>
      </c>
      <c r="O58">
        <f t="shared" si="12"/>
        <v>5</v>
      </c>
      <c r="P58" s="31">
        <f t="shared" si="9"/>
        <v>774.62238951120526</v>
      </c>
      <c r="Q58" t="str">
        <f t="shared" si="10"/>
        <v>WT</v>
      </c>
      <c r="R58" s="32"/>
      <c r="S58" t="str">
        <f t="shared" si="11"/>
        <v>WT</v>
      </c>
    </row>
    <row r="59" spans="1:19" x14ac:dyDescent="0.2">
      <c r="A59" t="s">
        <v>495</v>
      </c>
      <c r="B59" s="29">
        <f t="shared" si="0"/>
        <v>45904.351417737998</v>
      </c>
      <c r="C59" s="29">
        <f t="shared" si="1"/>
        <v>45904.684751071334</v>
      </c>
      <c r="D59">
        <v>-31.979579893</v>
      </c>
      <c r="E59">
        <v>115.817194124</v>
      </c>
      <c r="F59">
        <v>1.274</v>
      </c>
      <c r="G59">
        <v>0</v>
      </c>
      <c r="H59" s="30">
        <f t="shared" si="2"/>
        <v>5.1920207217335701</v>
      </c>
      <c r="I59" s="31">
        <f t="shared" si="3"/>
        <v>226.27604098943175</v>
      </c>
      <c r="J59" t="b">
        <f t="shared" si="4"/>
        <v>1</v>
      </c>
      <c r="K59" t="b">
        <f t="shared" si="5"/>
        <v>0</v>
      </c>
      <c r="L59" t="b">
        <f t="shared" si="6"/>
        <v>0</v>
      </c>
      <c r="M59" t="b">
        <f t="shared" si="7"/>
        <v>1</v>
      </c>
      <c r="N59" t="b">
        <f t="shared" si="8"/>
        <v>0</v>
      </c>
      <c r="O59">
        <f t="shared" si="12"/>
        <v>5</v>
      </c>
      <c r="P59" s="31">
        <f t="shared" si="9"/>
        <v>774.62238951120526</v>
      </c>
      <c r="Q59" t="str">
        <f t="shared" si="10"/>
        <v>WT</v>
      </c>
      <c r="R59" s="32"/>
      <c r="S59" t="str">
        <f t="shared" si="11"/>
        <v>WT</v>
      </c>
    </row>
    <row r="60" spans="1:19" x14ac:dyDescent="0.2">
      <c r="A60" t="s">
        <v>496</v>
      </c>
      <c r="B60" s="29">
        <f t="shared" si="0"/>
        <v>45904.351477830831</v>
      </c>
      <c r="C60" s="29">
        <f t="shared" si="1"/>
        <v>45904.684811164167</v>
      </c>
      <c r="D60">
        <v>-31.979522399</v>
      </c>
      <c r="E60">
        <v>115.81719574</v>
      </c>
      <c r="F60">
        <v>1.232</v>
      </c>
      <c r="G60">
        <v>0</v>
      </c>
      <c r="H60" s="30">
        <f t="shared" si="2"/>
        <v>5.1916410215198994</v>
      </c>
      <c r="I60" s="31">
        <f t="shared" si="3"/>
        <v>231.87314521120143</v>
      </c>
      <c r="J60" t="b">
        <f t="shared" si="4"/>
        <v>1</v>
      </c>
      <c r="K60" t="b">
        <f t="shared" si="5"/>
        <v>0</v>
      </c>
      <c r="L60" t="b">
        <f t="shared" si="6"/>
        <v>0</v>
      </c>
      <c r="M60" t="b">
        <f t="shared" si="7"/>
        <v>1</v>
      </c>
      <c r="N60" t="b">
        <f t="shared" si="8"/>
        <v>0</v>
      </c>
      <c r="O60">
        <f t="shared" si="12"/>
        <v>5</v>
      </c>
      <c r="P60" s="31">
        <f t="shared" si="9"/>
        <v>774.62238951120526</v>
      </c>
      <c r="Q60" t="str">
        <f t="shared" si="10"/>
        <v>WT</v>
      </c>
      <c r="R60" s="32"/>
      <c r="S60" t="str">
        <f t="shared" si="11"/>
        <v>WT</v>
      </c>
    </row>
    <row r="61" spans="1:19" x14ac:dyDescent="0.2">
      <c r="A61" t="s">
        <v>497</v>
      </c>
      <c r="B61" s="29">
        <f t="shared" si="0"/>
        <v>45904.351537919269</v>
      </c>
      <c r="C61" s="29">
        <f t="shared" si="1"/>
        <v>45904.684871252604</v>
      </c>
      <c r="D61">
        <v>-31.979464197999999</v>
      </c>
      <c r="E61">
        <v>115.817198602</v>
      </c>
      <c r="F61">
        <v>1.248</v>
      </c>
      <c r="G61">
        <v>0</v>
      </c>
      <c r="H61" s="30">
        <f t="shared" si="2"/>
        <v>5.0052000442519784</v>
      </c>
      <c r="I61" s="31">
        <f t="shared" si="3"/>
        <v>237.63646529038289</v>
      </c>
      <c r="J61" t="b">
        <f t="shared" si="4"/>
        <v>1</v>
      </c>
      <c r="K61" t="b">
        <f t="shared" si="5"/>
        <v>0</v>
      </c>
      <c r="L61" t="b">
        <f t="shared" si="6"/>
        <v>0</v>
      </c>
      <c r="M61" t="b">
        <f t="shared" si="7"/>
        <v>1</v>
      </c>
      <c r="N61" t="b">
        <f t="shared" si="8"/>
        <v>0</v>
      </c>
      <c r="O61">
        <f t="shared" si="12"/>
        <v>5</v>
      </c>
      <c r="P61" s="31">
        <f t="shared" si="9"/>
        <v>774.62238951120526</v>
      </c>
      <c r="Q61" t="str">
        <f t="shared" si="10"/>
        <v>WT</v>
      </c>
      <c r="R61" s="32"/>
      <c r="S61" t="str">
        <f t="shared" si="11"/>
        <v>WT</v>
      </c>
    </row>
    <row r="62" spans="1:19" x14ac:dyDescent="0.2">
      <c r="A62" t="s">
        <v>498</v>
      </c>
      <c r="B62" s="29">
        <f t="shared" si="0"/>
        <v>45904.351595849825</v>
      </c>
      <c r="C62" s="29">
        <f t="shared" si="1"/>
        <v>45904.68492918316</v>
      </c>
      <c r="D62">
        <v>-31.979411495000001</v>
      </c>
      <c r="E62">
        <v>115.817213645</v>
      </c>
      <c r="F62">
        <v>1.2050000000000001</v>
      </c>
      <c r="G62">
        <v>0</v>
      </c>
      <c r="H62" s="30">
        <f t="shared" si="2"/>
        <v>5.1901542814448476</v>
      </c>
      <c r="I62" s="31">
        <f t="shared" si="3"/>
        <v>243.45006287071647</v>
      </c>
      <c r="J62" t="b">
        <f t="shared" si="4"/>
        <v>1</v>
      </c>
      <c r="K62" t="b">
        <f t="shared" si="5"/>
        <v>0</v>
      </c>
      <c r="L62" t="b">
        <f t="shared" si="6"/>
        <v>0</v>
      </c>
      <c r="M62" t="b">
        <f t="shared" si="7"/>
        <v>1</v>
      </c>
      <c r="N62" t="b">
        <f t="shared" si="8"/>
        <v>0</v>
      </c>
      <c r="O62">
        <f t="shared" si="12"/>
        <v>5</v>
      </c>
      <c r="P62" s="31">
        <f t="shared" si="9"/>
        <v>774.62238951120526</v>
      </c>
      <c r="Q62" t="str">
        <f t="shared" si="10"/>
        <v>WT</v>
      </c>
      <c r="R62" s="32"/>
      <c r="S62" t="str">
        <f t="shared" si="11"/>
        <v>WT</v>
      </c>
    </row>
    <row r="63" spans="1:19" x14ac:dyDescent="0.2">
      <c r="A63" t="s">
        <v>499</v>
      </c>
      <c r="B63" s="29">
        <f t="shared" si="0"/>
        <v>45904.351655921055</v>
      </c>
      <c r="C63" s="29">
        <f t="shared" si="1"/>
        <v>45904.684989254391</v>
      </c>
      <c r="D63">
        <v>-31.979367031999999</v>
      </c>
      <c r="E63">
        <v>115.817240252</v>
      </c>
      <c r="F63">
        <v>1.0680000000000001</v>
      </c>
      <c r="G63">
        <v>0</v>
      </c>
      <c r="H63" s="30">
        <f t="shared" si="2"/>
        <v>5.0192225491628051</v>
      </c>
      <c r="I63" s="31">
        <f t="shared" si="3"/>
        <v>248.99162374323296</v>
      </c>
      <c r="J63" t="b">
        <f t="shared" si="4"/>
        <v>1</v>
      </c>
      <c r="K63" t="b">
        <f t="shared" si="5"/>
        <v>0</v>
      </c>
      <c r="L63" t="b">
        <f t="shared" si="6"/>
        <v>0</v>
      </c>
      <c r="M63" t="b">
        <f t="shared" si="7"/>
        <v>1</v>
      </c>
      <c r="N63" t="b">
        <f t="shared" si="8"/>
        <v>0</v>
      </c>
      <c r="O63">
        <f t="shared" si="12"/>
        <v>5</v>
      </c>
      <c r="P63" s="31">
        <f t="shared" si="9"/>
        <v>774.62238951120526</v>
      </c>
      <c r="Q63" t="str">
        <f t="shared" si="10"/>
        <v>WT</v>
      </c>
      <c r="R63" s="32"/>
      <c r="S63" t="str">
        <f t="shared" si="11"/>
        <v>WT</v>
      </c>
    </row>
    <row r="64" spans="1:19" x14ac:dyDescent="0.2">
      <c r="A64" t="s">
        <v>500</v>
      </c>
      <c r="B64" s="29">
        <f t="shared" si="0"/>
        <v>45904.351714013908</v>
      </c>
      <c r="C64" s="29">
        <f t="shared" si="1"/>
        <v>45904.685047347244</v>
      </c>
      <c r="D64">
        <v>-31.979334193</v>
      </c>
      <c r="E64">
        <v>115.817270561</v>
      </c>
      <c r="F64">
        <v>0.92400000000000004</v>
      </c>
      <c r="G64">
        <v>0</v>
      </c>
      <c r="H64" s="30">
        <f t="shared" si="2"/>
        <v>5.2230882458388805</v>
      </c>
      <c r="I64" s="31">
        <f t="shared" si="3"/>
        <v>253.5693019478895</v>
      </c>
      <c r="J64" t="b">
        <f t="shared" si="4"/>
        <v>1</v>
      </c>
      <c r="K64" t="b">
        <f t="shared" si="5"/>
        <v>0</v>
      </c>
      <c r="L64" t="b">
        <f t="shared" si="6"/>
        <v>0</v>
      </c>
      <c r="M64" t="b">
        <f t="shared" si="7"/>
        <v>1</v>
      </c>
      <c r="N64" t="b">
        <f t="shared" si="8"/>
        <v>0</v>
      </c>
      <c r="O64">
        <f t="shared" si="12"/>
        <v>5</v>
      </c>
      <c r="P64" s="31">
        <f t="shared" si="9"/>
        <v>774.62238951120526</v>
      </c>
      <c r="Q64" t="str">
        <f t="shared" si="10"/>
        <v>WT</v>
      </c>
      <c r="R64" s="32"/>
      <c r="S64" t="str">
        <f t="shared" si="11"/>
        <v>WT</v>
      </c>
    </row>
    <row r="65" spans="1:19" x14ac:dyDescent="0.2">
      <c r="A65" t="s">
        <v>501</v>
      </c>
      <c r="B65" s="29">
        <f t="shared" si="0"/>
        <v>45904.351774466319</v>
      </c>
      <c r="C65" s="29">
        <f t="shared" si="1"/>
        <v>45904.685107799654</v>
      </c>
      <c r="D65">
        <v>-31.979300452</v>
      </c>
      <c r="E65">
        <v>115.817309873</v>
      </c>
      <c r="F65">
        <v>1.01</v>
      </c>
      <c r="G65">
        <v>0</v>
      </c>
      <c r="H65" s="30">
        <f t="shared" si="2"/>
        <v>5.1787877921015024</v>
      </c>
      <c r="I65" s="31">
        <f t="shared" si="3"/>
        <v>258.65059034664114</v>
      </c>
      <c r="J65" t="b">
        <f t="shared" si="4"/>
        <v>1</v>
      </c>
      <c r="K65" t="b">
        <f t="shared" si="5"/>
        <v>0</v>
      </c>
      <c r="L65" t="b">
        <f t="shared" si="6"/>
        <v>0</v>
      </c>
      <c r="M65" t="b">
        <f t="shared" si="7"/>
        <v>1</v>
      </c>
      <c r="N65" t="b">
        <f t="shared" si="8"/>
        <v>0</v>
      </c>
      <c r="O65">
        <f t="shared" si="12"/>
        <v>5</v>
      </c>
      <c r="P65" s="31">
        <f t="shared" si="9"/>
        <v>774.62238951120526</v>
      </c>
      <c r="Q65" t="str">
        <f t="shared" si="10"/>
        <v>WT</v>
      </c>
      <c r="R65" s="32"/>
      <c r="S65" t="str">
        <f t="shared" si="11"/>
        <v>WT</v>
      </c>
    </row>
    <row r="66" spans="1:19" x14ac:dyDescent="0.2">
      <c r="A66" t="s">
        <v>502</v>
      </c>
      <c r="B66" s="29">
        <f t="shared" ref="B66:B129" si="13">DATE(VALUE(LEFT(A66,4)),VALUE(MID(A66,6,2)),VALUE(MID(A66,9,2)))+TIME(VALUE(MID(A66,12,2)),VALUE(MID(A66,15,2)),VALUE(MID(A66,18,2)))+IFERROR(VALUE(MID(A66,21,6)),0)/86400000000</f>
        <v>45904.351834405992</v>
      </c>
      <c r="C66" s="29">
        <f t="shared" ref="C66:C129" si="14">B66+UTC_OFFSET_H/24</f>
        <v>45904.685167739328</v>
      </c>
      <c r="D66">
        <v>-31.979275384000001</v>
      </c>
      <c r="E66">
        <v>115.817352817</v>
      </c>
      <c r="F66">
        <v>0.94899999999999995</v>
      </c>
      <c r="G66">
        <v>0</v>
      </c>
      <c r="H66" s="30">
        <f t="shared" ref="H66:H129" si="15">(B67-B66)*86400</f>
        <v>5.0074336118996143</v>
      </c>
      <c r="I66" s="31">
        <f t="shared" ref="I66:I129" si="16">2*6371000*ASIN(SQRT(SIN((RADIANS(D66)-RADIANS(DEPOT_LAT))/2)^2+COS(RADIANS(DEPOT_LAT))*COS(RADIANS(D66))*SIN((RADIANS(E66)-RADIANS(DEPOT_LON))/2)^2))</f>
        <v>263.07065242770818</v>
      </c>
      <c r="J66" t="b">
        <f t="shared" ref="J66:J129" si="17">AND(WEEKDAY(C66,2)&lt;=SERVICE_LAST_WEEKDAY,MOD(C66,1)&gt;=SERVICE_START,MOD(C66,1)&lt;SERVICE_END)</f>
        <v>1</v>
      </c>
      <c r="K66" t="b">
        <f t="shared" ref="K66:K129" si="18">F66&lt;SPEED_STOP_MPS</f>
        <v>0</v>
      </c>
      <c r="L66" t="b">
        <f t="shared" ref="L66:L129" si="19">I66&lt;=DEPOT_RADIUS_M</f>
        <v>0</v>
      </c>
      <c r="M66" t="b">
        <f t="shared" ref="M66:M129" si="20">G66&gt;=0</f>
        <v>1</v>
      </c>
      <c r="N66" t="b">
        <f t="shared" ref="N66:N129" si="21">H66&gt;MAX_GAP_S</f>
        <v>0</v>
      </c>
      <c r="O66">
        <f t="shared" si="12"/>
        <v>5</v>
      </c>
      <c r="P66" s="31">
        <f t="shared" ref="P66:P129" si="22">SUMIFS($H$2:$H$440,$O$2:$O$440,O66)</f>
        <v>774.62238951120526</v>
      </c>
      <c r="Q66" t="str">
        <f t="shared" ref="Q66:Q129" si="23">IF(NOT(J66),"UT",IF(N66,IF(L66,"SB","OD"),IF(AND(K66,L66,P66&gt;=STANDBY_DWELL_S),"SB",IF(AND(K66,NOT(M66)),"OD",IF(AND(K66,NOT(L66),P66&gt;=DELAY_DWELL_S),"OD","WT")))))</f>
        <v>WT</v>
      </c>
      <c r="R66" s="32"/>
      <c r="S66" t="str">
        <f t="shared" ref="S66:S129" si="24">IF(R66&lt;&gt;"",R66,Q66)</f>
        <v>WT</v>
      </c>
    </row>
    <row r="67" spans="1:19" x14ac:dyDescent="0.2">
      <c r="A67" t="s">
        <v>503</v>
      </c>
      <c r="B67" s="29">
        <f t="shared" si="13"/>
        <v>45904.3518923624</v>
      </c>
      <c r="C67" s="29">
        <f t="shared" si="14"/>
        <v>45904.685225695735</v>
      </c>
      <c r="D67">
        <v>-31.979263250999999</v>
      </c>
      <c r="E67">
        <v>115.817390401</v>
      </c>
      <c r="F67">
        <v>0.75700000000000001</v>
      </c>
      <c r="G67">
        <v>0</v>
      </c>
      <c r="H67" s="30">
        <f t="shared" si="15"/>
        <v>5.1676438422873616</v>
      </c>
      <c r="I67" s="31">
        <f t="shared" si="16"/>
        <v>266.01070661573573</v>
      </c>
      <c r="J67" t="b">
        <f t="shared" si="17"/>
        <v>1</v>
      </c>
      <c r="K67" t="b">
        <f t="shared" si="18"/>
        <v>0</v>
      </c>
      <c r="L67" t="b">
        <f t="shared" si="19"/>
        <v>0</v>
      </c>
      <c r="M67" t="b">
        <f t="shared" si="20"/>
        <v>1</v>
      </c>
      <c r="N67" t="b">
        <f t="shared" si="21"/>
        <v>0</v>
      </c>
      <c r="O67">
        <f t="shared" ref="O67:O130" si="25">IF(AND(K67=K66,L67=L66),O66,O66+1)</f>
        <v>5</v>
      </c>
      <c r="P67" s="31">
        <f t="shared" si="22"/>
        <v>774.62238951120526</v>
      </c>
      <c r="Q67" t="str">
        <f t="shared" si="23"/>
        <v>WT</v>
      </c>
      <c r="R67" s="32"/>
      <c r="S67" t="str">
        <f t="shared" si="24"/>
        <v>WT</v>
      </c>
    </row>
    <row r="68" spans="1:19" x14ac:dyDescent="0.2">
      <c r="A68" t="s">
        <v>504</v>
      </c>
      <c r="B68" s="29">
        <f t="shared" si="13"/>
        <v>45904.351952173092</v>
      </c>
      <c r="C68" s="29">
        <f t="shared" si="14"/>
        <v>45904.685285506428</v>
      </c>
      <c r="D68">
        <v>-31.979254811000001</v>
      </c>
      <c r="E68">
        <v>115.81743657</v>
      </c>
      <c r="F68">
        <v>0.86199999999999999</v>
      </c>
      <c r="G68">
        <v>0</v>
      </c>
      <c r="H68" s="30">
        <f t="shared" si="15"/>
        <v>5.0293556414544582</v>
      </c>
      <c r="I68" s="31">
        <f t="shared" si="16"/>
        <v>269.0347028608773</v>
      </c>
      <c r="J68" t="b">
        <f t="shared" si="17"/>
        <v>1</v>
      </c>
      <c r="K68" t="b">
        <f t="shared" si="18"/>
        <v>0</v>
      </c>
      <c r="L68" t="b">
        <f t="shared" si="19"/>
        <v>0</v>
      </c>
      <c r="M68" t="b">
        <f t="shared" si="20"/>
        <v>1</v>
      </c>
      <c r="N68" t="b">
        <f t="shared" si="21"/>
        <v>0</v>
      </c>
      <c r="O68">
        <f t="shared" si="25"/>
        <v>5</v>
      </c>
      <c r="P68" s="31">
        <f t="shared" si="22"/>
        <v>774.62238951120526</v>
      </c>
      <c r="Q68" t="str">
        <f t="shared" si="23"/>
        <v>WT</v>
      </c>
      <c r="R68" s="32"/>
      <c r="S68" t="str">
        <f t="shared" si="24"/>
        <v>WT</v>
      </c>
    </row>
    <row r="69" spans="1:19" x14ac:dyDescent="0.2">
      <c r="A69" t="s">
        <v>505</v>
      </c>
      <c r="B69" s="29">
        <f t="shared" si="13"/>
        <v>45904.352010383227</v>
      </c>
      <c r="C69" s="29">
        <f t="shared" si="14"/>
        <v>45904.685343716563</v>
      </c>
      <c r="D69">
        <v>-31.979255316</v>
      </c>
      <c r="E69">
        <v>115.817487731</v>
      </c>
      <c r="F69">
        <v>0.96</v>
      </c>
      <c r="G69">
        <v>0</v>
      </c>
      <c r="H69" s="30">
        <f t="shared" si="15"/>
        <v>5.1807981915771961</v>
      </c>
      <c r="I69" s="31">
        <f t="shared" si="16"/>
        <v>271.49955403175278</v>
      </c>
      <c r="J69" t="b">
        <f t="shared" si="17"/>
        <v>1</v>
      </c>
      <c r="K69" t="b">
        <f t="shared" si="18"/>
        <v>0</v>
      </c>
      <c r="L69" t="b">
        <f t="shared" si="19"/>
        <v>0</v>
      </c>
      <c r="M69" t="b">
        <f t="shared" si="20"/>
        <v>1</v>
      </c>
      <c r="N69" t="b">
        <f t="shared" si="21"/>
        <v>0</v>
      </c>
      <c r="O69">
        <f t="shared" si="25"/>
        <v>5</v>
      </c>
      <c r="P69" s="31">
        <f t="shared" si="22"/>
        <v>774.62238951120526</v>
      </c>
      <c r="Q69" t="str">
        <f t="shared" si="23"/>
        <v>WT</v>
      </c>
      <c r="R69" s="32"/>
      <c r="S69" t="str">
        <f t="shared" si="24"/>
        <v>WT</v>
      </c>
    </row>
    <row r="70" spans="1:19" x14ac:dyDescent="0.2">
      <c r="A70" t="s">
        <v>506</v>
      </c>
      <c r="B70" s="29">
        <f t="shared" si="13"/>
        <v>45904.352070346169</v>
      </c>
      <c r="C70" s="29">
        <f t="shared" si="14"/>
        <v>45904.685403679505</v>
      </c>
      <c r="D70">
        <v>-31.979255072000001</v>
      </c>
      <c r="E70">
        <v>115.81755331799999</v>
      </c>
      <c r="F70">
        <v>1.194</v>
      </c>
      <c r="G70">
        <v>0</v>
      </c>
      <c r="H70" s="30">
        <f t="shared" si="15"/>
        <v>5.1939500262960792</v>
      </c>
      <c r="I70" s="31">
        <f t="shared" si="16"/>
        <v>274.83428169632487</v>
      </c>
      <c r="J70" t="b">
        <f t="shared" si="17"/>
        <v>1</v>
      </c>
      <c r="K70" t="b">
        <f t="shared" si="18"/>
        <v>0</v>
      </c>
      <c r="L70" t="b">
        <f t="shared" si="19"/>
        <v>0</v>
      </c>
      <c r="M70" t="b">
        <f t="shared" si="20"/>
        <v>1</v>
      </c>
      <c r="N70" t="b">
        <f t="shared" si="21"/>
        <v>0</v>
      </c>
      <c r="O70">
        <f t="shared" si="25"/>
        <v>5</v>
      </c>
      <c r="P70" s="31">
        <f t="shared" si="22"/>
        <v>774.62238951120526</v>
      </c>
      <c r="Q70" t="str">
        <f t="shared" si="23"/>
        <v>WT</v>
      </c>
      <c r="R70" s="32"/>
      <c r="S70" t="str">
        <f t="shared" si="24"/>
        <v>WT</v>
      </c>
    </row>
    <row r="71" spans="1:19" x14ac:dyDescent="0.2">
      <c r="A71" t="s">
        <v>507</v>
      </c>
      <c r="B71" s="29">
        <f t="shared" si="13"/>
        <v>45904.352130461331</v>
      </c>
      <c r="C71" s="29">
        <f t="shared" si="14"/>
        <v>45904.685463794667</v>
      </c>
      <c r="D71">
        <v>-31.979253624999998</v>
      </c>
      <c r="E71">
        <v>115.817620433</v>
      </c>
      <c r="F71">
        <v>1.2190000000000001</v>
      </c>
      <c r="G71">
        <v>0</v>
      </c>
      <c r="H71" s="30">
        <f t="shared" si="15"/>
        <v>5.0074342405423522</v>
      </c>
      <c r="I71" s="31">
        <f t="shared" si="16"/>
        <v>278.45806501113964</v>
      </c>
      <c r="J71" t="b">
        <f t="shared" si="17"/>
        <v>1</v>
      </c>
      <c r="K71" t="b">
        <f t="shared" si="18"/>
        <v>0</v>
      </c>
      <c r="L71" t="b">
        <f t="shared" si="19"/>
        <v>0</v>
      </c>
      <c r="M71" t="b">
        <f t="shared" si="20"/>
        <v>1</v>
      </c>
      <c r="N71" t="b">
        <f t="shared" si="21"/>
        <v>0</v>
      </c>
      <c r="O71">
        <f t="shared" si="25"/>
        <v>5</v>
      </c>
      <c r="P71" s="31">
        <f t="shared" si="22"/>
        <v>774.62238951120526</v>
      </c>
      <c r="Q71" t="str">
        <f t="shared" si="23"/>
        <v>WT</v>
      </c>
      <c r="R71" s="32"/>
      <c r="S71" t="str">
        <f t="shared" si="24"/>
        <v>WT</v>
      </c>
    </row>
    <row r="72" spans="1:19" x14ac:dyDescent="0.2">
      <c r="A72" t="s">
        <v>508</v>
      </c>
      <c r="B72" s="29">
        <f t="shared" si="13"/>
        <v>45904.352188417746</v>
      </c>
      <c r="C72" s="29">
        <f t="shared" si="14"/>
        <v>45904.685521751082</v>
      </c>
      <c r="D72">
        <v>-31.979254168000001</v>
      </c>
      <c r="E72">
        <v>115.817703248</v>
      </c>
      <c r="F72">
        <v>1.56</v>
      </c>
      <c r="G72">
        <v>0</v>
      </c>
      <c r="H72" s="30">
        <f t="shared" si="15"/>
        <v>5.2209244575351477</v>
      </c>
      <c r="I72" s="31">
        <f t="shared" si="16"/>
        <v>282.84954573178595</v>
      </c>
      <c r="J72" t="b">
        <f t="shared" si="17"/>
        <v>1</v>
      </c>
      <c r="K72" t="b">
        <f t="shared" si="18"/>
        <v>0</v>
      </c>
      <c r="L72" t="b">
        <f t="shared" si="19"/>
        <v>0</v>
      </c>
      <c r="M72" t="b">
        <f t="shared" si="20"/>
        <v>1</v>
      </c>
      <c r="N72" t="b">
        <f t="shared" si="21"/>
        <v>0</v>
      </c>
      <c r="O72">
        <f t="shared" si="25"/>
        <v>5</v>
      </c>
      <c r="P72" s="31">
        <f t="shared" si="22"/>
        <v>774.62238951120526</v>
      </c>
      <c r="Q72" t="str">
        <f t="shared" si="23"/>
        <v>WT</v>
      </c>
      <c r="R72" s="32"/>
      <c r="S72" t="str">
        <f t="shared" si="24"/>
        <v>WT</v>
      </c>
    </row>
    <row r="73" spans="1:19" x14ac:dyDescent="0.2">
      <c r="A73" t="s">
        <v>509</v>
      </c>
      <c r="B73" s="29">
        <f t="shared" si="13"/>
        <v>45904.352248845113</v>
      </c>
      <c r="C73" s="29">
        <f t="shared" si="14"/>
        <v>45904.685582178448</v>
      </c>
      <c r="D73">
        <v>-31.979247676</v>
      </c>
      <c r="E73">
        <v>115.81775754</v>
      </c>
      <c r="F73">
        <v>0.99099999999999999</v>
      </c>
      <c r="G73">
        <v>0</v>
      </c>
      <c r="H73" s="30">
        <f t="shared" si="15"/>
        <v>5.1901844562962651</v>
      </c>
      <c r="I73" s="31">
        <f t="shared" si="16"/>
        <v>286.42298397325834</v>
      </c>
      <c r="J73" t="b">
        <f t="shared" si="17"/>
        <v>1</v>
      </c>
      <c r="K73" t="b">
        <f t="shared" si="18"/>
        <v>0</v>
      </c>
      <c r="L73" t="b">
        <f t="shared" si="19"/>
        <v>0</v>
      </c>
      <c r="M73" t="b">
        <f t="shared" si="20"/>
        <v>1</v>
      </c>
      <c r="N73" t="b">
        <f t="shared" si="21"/>
        <v>0</v>
      </c>
      <c r="O73">
        <f t="shared" si="25"/>
        <v>5</v>
      </c>
      <c r="P73" s="31">
        <f t="shared" si="22"/>
        <v>774.62238951120526</v>
      </c>
      <c r="Q73" t="str">
        <f t="shared" si="23"/>
        <v>WT</v>
      </c>
      <c r="R73" s="32"/>
      <c r="S73" t="str">
        <f t="shared" si="24"/>
        <v>WT</v>
      </c>
    </row>
    <row r="74" spans="1:19" x14ac:dyDescent="0.2">
      <c r="A74" t="s">
        <v>510</v>
      </c>
      <c r="B74" s="29">
        <f t="shared" si="13"/>
        <v>45904.352308916692</v>
      </c>
      <c r="C74" s="29">
        <f t="shared" si="14"/>
        <v>45904.685642250028</v>
      </c>
      <c r="D74">
        <v>-31.979245896999998</v>
      </c>
      <c r="E74">
        <v>115.81782694899999</v>
      </c>
      <c r="F74">
        <v>1.262</v>
      </c>
      <c r="G74">
        <v>0</v>
      </c>
      <c r="H74" s="30">
        <f t="shared" si="15"/>
        <v>5.1912562921643257</v>
      </c>
      <c r="I74" s="31">
        <f t="shared" si="16"/>
        <v>290.48256597092058</v>
      </c>
      <c r="J74" t="b">
        <f t="shared" si="17"/>
        <v>1</v>
      </c>
      <c r="K74" t="b">
        <f t="shared" si="18"/>
        <v>0</v>
      </c>
      <c r="L74" t="b">
        <f t="shared" si="19"/>
        <v>0</v>
      </c>
      <c r="M74" t="b">
        <f t="shared" si="20"/>
        <v>1</v>
      </c>
      <c r="N74" t="b">
        <f t="shared" si="21"/>
        <v>0</v>
      </c>
      <c r="O74">
        <f t="shared" si="25"/>
        <v>5</v>
      </c>
      <c r="P74" s="31">
        <f t="shared" si="22"/>
        <v>774.62238951120526</v>
      </c>
      <c r="Q74" t="str">
        <f t="shared" si="23"/>
        <v>WT</v>
      </c>
      <c r="R74" s="32"/>
      <c r="S74" t="str">
        <f t="shared" si="24"/>
        <v>WT</v>
      </c>
    </row>
    <row r="75" spans="1:19" x14ac:dyDescent="0.2">
      <c r="A75" t="s">
        <v>511</v>
      </c>
      <c r="B75" s="29">
        <f t="shared" si="13"/>
        <v>45904.352369000677</v>
      </c>
      <c r="C75" s="29">
        <f t="shared" si="14"/>
        <v>45904.685702334013</v>
      </c>
      <c r="D75">
        <v>-31.979247874999999</v>
      </c>
      <c r="E75">
        <v>115.81790034700001</v>
      </c>
      <c r="F75">
        <v>1.3340000000000001</v>
      </c>
      <c r="G75">
        <v>0</v>
      </c>
      <c r="H75" s="30">
        <f t="shared" si="15"/>
        <v>5.0069929333403707</v>
      </c>
      <c r="I75" s="31">
        <f t="shared" si="16"/>
        <v>294.53548883492323</v>
      </c>
      <c r="J75" t="b">
        <f t="shared" si="17"/>
        <v>1</v>
      </c>
      <c r="K75" t="b">
        <f t="shared" si="18"/>
        <v>0</v>
      </c>
      <c r="L75" t="b">
        <f t="shared" si="19"/>
        <v>0</v>
      </c>
      <c r="M75" t="b">
        <f t="shared" si="20"/>
        <v>1</v>
      </c>
      <c r="N75" t="b">
        <f t="shared" si="21"/>
        <v>0</v>
      </c>
      <c r="O75">
        <f t="shared" si="25"/>
        <v>5</v>
      </c>
      <c r="P75" s="31">
        <f t="shared" si="22"/>
        <v>774.62238951120526</v>
      </c>
      <c r="Q75" t="str">
        <f t="shared" si="23"/>
        <v>WT</v>
      </c>
      <c r="R75" s="32"/>
      <c r="S75" t="str">
        <f t="shared" si="24"/>
        <v>WT</v>
      </c>
    </row>
    <row r="76" spans="1:19" x14ac:dyDescent="0.2">
      <c r="A76" t="s">
        <v>512</v>
      </c>
      <c r="B76" s="29">
        <f t="shared" si="13"/>
        <v>45904.352426951984</v>
      </c>
      <c r="C76" s="29">
        <f t="shared" si="14"/>
        <v>45904.68576028532</v>
      </c>
      <c r="D76">
        <v>-31.979239218</v>
      </c>
      <c r="E76">
        <v>115.817976743</v>
      </c>
      <c r="F76">
        <v>1.452</v>
      </c>
      <c r="G76">
        <v>0</v>
      </c>
      <c r="H76" s="30">
        <f t="shared" si="15"/>
        <v>5.1897048018872738</v>
      </c>
      <c r="I76" s="31">
        <f t="shared" si="16"/>
        <v>299.78918285049986</v>
      </c>
      <c r="J76" t="b">
        <f t="shared" si="17"/>
        <v>1</v>
      </c>
      <c r="K76" t="b">
        <f t="shared" si="18"/>
        <v>0</v>
      </c>
      <c r="L76" t="b">
        <f t="shared" si="19"/>
        <v>0</v>
      </c>
      <c r="M76" t="b">
        <f t="shared" si="20"/>
        <v>1</v>
      </c>
      <c r="N76" t="b">
        <f t="shared" si="21"/>
        <v>0</v>
      </c>
      <c r="O76">
        <f t="shared" si="25"/>
        <v>5</v>
      </c>
      <c r="P76" s="31">
        <f t="shared" si="22"/>
        <v>774.62238951120526</v>
      </c>
      <c r="Q76" t="str">
        <f t="shared" si="23"/>
        <v>WT</v>
      </c>
      <c r="R76" s="32"/>
      <c r="S76" t="str">
        <f t="shared" si="24"/>
        <v>WT</v>
      </c>
    </row>
    <row r="77" spans="1:19" x14ac:dyDescent="0.2">
      <c r="A77" t="s">
        <v>513</v>
      </c>
      <c r="B77" s="29">
        <f t="shared" si="13"/>
        <v>45904.352487018012</v>
      </c>
      <c r="C77" s="29">
        <f t="shared" si="14"/>
        <v>45904.685820351348</v>
      </c>
      <c r="D77">
        <v>-31.979243975999999</v>
      </c>
      <c r="E77">
        <v>115.818045681</v>
      </c>
      <c r="F77">
        <v>1.2569999999999999</v>
      </c>
      <c r="G77">
        <v>0</v>
      </c>
      <c r="H77" s="30">
        <f t="shared" si="15"/>
        <v>5.2033124025911093</v>
      </c>
      <c r="I77" s="31">
        <f t="shared" si="16"/>
        <v>303.53169135644583</v>
      </c>
      <c r="J77" t="b">
        <f t="shared" si="17"/>
        <v>1</v>
      </c>
      <c r="K77" t="b">
        <f t="shared" si="18"/>
        <v>0</v>
      </c>
      <c r="L77" t="b">
        <f t="shared" si="19"/>
        <v>0</v>
      </c>
      <c r="M77" t="b">
        <f t="shared" si="20"/>
        <v>1</v>
      </c>
      <c r="N77" t="b">
        <f t="shared" si="21"/>
        <v>0</v>
      </c>
      <c r="O77">
        <f t="shared" si="25"/>
        <v>5</v>
      </c>
      <c r="P77" s="31">
        <f t="shared" si="22"/>
        <v>774.62238951120526</v>
      </c>
      <c r="Q77" t="str">
        <f t="shared" si="23"/>
        <v>WT</v>
      </c>
      <c r="R77" s="32"/>
      <c r="S77" t="str">
        <f t="shared" si="24"/>
        <v>WT</v>
      </c>
    </row>
    <row r="78" spans="1:19" x14ac:dyDescent="0.2">
      <c r="A78" t="s">
        <v>514</v>
      </c>
      <c r="B78" s="29">
        <f t="shared" si="13"/>
        <v>45904.352547241535</v>
      </c>
      <c r="C78" s="29">
        <f t="shared" si="14"/>
        <v>45904.685880574871</v>
      </c>
      <c r="D78">
        <v>-31.97924617</v>
      </c>
      <c r="E78">
        <v>115.81806700600001</v>
      </c>
      <c r="F78">
        <v>0.38900000000000001</v>
      </c>
      <c r="G78">
        <v>0</v>
      </c>
      <c r="H78" s="30">
        <f t="shared" si="15"/>
        <v>5.2226324798539281</v>
      </c>
      <c r="I78" s="31">
        <f t="shared" si="16"/>
        <v>304.64727755606168</v>
      </c>
      <c r="J78" t="b">
        <f t="shared" si="17"/>
        <v>1</v>
      </c>
      <c r="K78" t="b">
        <f t="shared" si="18"/>
        <v>0</v>
      </c>
      <c r="L78" t="b">
        <f t="shared" si="19"/>
        <v>0</v>
      </c>
      <c r="M78" t="b">
        <f t="shared" si="20"/>
        <v>1</v>
      </c>
      <c r="N78" t="b">
        <f t="shared" si="21"/>
        <v>0</v>
      </c>
      <c r="O78">
        <f t="shared" si="25"/>
        <v>5</v>
      </c>
      <c r="P78" s="31">
        <f t="shared" si="22"/>
        <v>774.62238951120526</v>
      </c>
      <c r="Q78" t="str">
        <f t="shared" si="23"/>
        <v>WT</v>
      </c>
      <c r="R78" s="32"/>
      <c r="S78" t="str">
        <f t="shared" si="24"/>
        <v>WT</v>
      </c>
    </row>
    <row r="79" spans="1:19" x14ac:dyDescent="0.2">
      <c r="A79" t="s">
        <v>515</v>
      </c>
      <c r="B79" s="29">
        <f t="shared" si="13"/>
        <v>45904.35260768867</v>
      </c>
      <c r="C79" s="29">
        <f t="shared" si="14"/>
        <v>45904.685941022006</v>
      </c>
      <c r="D79">
        <v>-31.979239905</v>
      </c>
      <c r="E79">
        <v>115.818036652</v>
      </c>
      <c r="F79">
        <v>0.56399999999999995</v>
      </c>
      <c r="G79">
        <v>0</v>
      </c>
      <c r="H79" s="30">
        <f t="shared" si="15"/>
        <v>5.1897909259423614</v>
      </c>
      <c r="I79" s="31">
        <f t="shared" si="16"/>
        <v>303.32980765345303</v>
      </c>
      <c r="J79" t="b">
        <f t="shared" si="17"/>
        <v>1</v>
      </c>
      <c r="K79" t="b">
        <f t="shared" si="18"/>
        <v>0</v>
      </c>
      <c r="L79" t="b">
        <f t="shared" si="19"/>
        <v>0</v>
      </c>
      <c r="M79" t="b">
        <f t="shared" si="20"/>
        <v>1</v>
      </c>
      <c r="N79" t="b">
        <f t="shared" si="21"/>
        <v>0</v>
      </c>
      <c r="O79">
        <f t="shared" si="25"/>
        <v>5</v>
      </c>
      <c r="P79" s="31">
        <f t="shared" si="22"/>
        <v>774.62238951120526</v>
      </c>
      <c r="Q79" t="str">
        <f t="shared" si="23"/>
        <v>WT</v>
      </c>
      <c r="R79" s="32"/>
      <c r="S79" t="str">
        <f t="shared" si="24"/>
        <v>WT</v>
      </c>
    </row>
    <row r="80" spans="1:19" x14ac:dyDescent="0.2">
      <c r="A80" t="s">
        <v>516</v>
      </c>
      <c r="B80" s="29">
        <f t="shared" si="13"/>
        <v>45904.352667755695</v>
      </c>
      <c r="C80" s="29">
        <f t="shared" si="14"/>
        <v>45904.68600108903</v>
      </c>
      <c r="D80">
        <v>-31.979234862999999</v>
      </c>
      <c r="E80">
        <v>115.817982782</v>
      </c>
      <c r="F80">
        <v>0.98499999999999999</v>
      </c>
      <c r="G80">
        <v>0</v>
      </c>
      <c r="H80" s="30">
        <f t="shared" si="15"/>
        <v>5.1900901598855853</v>
      </c>
      <c r="I80" s="31">
        <f t="shared" si="16"/>
        <v>300.52436739727921</v>
      </c>
      <c r="J80" t="b">
        <f t="shared" si="17"/>
        <v>1</v>
      </c>
      <c r="K80" t="b">
        <f t="shared" si="18"/>
        <v>0</v>
      </c>
      <c r="L80" t="b">
        <f t="shared" si="19"/>
        <v>0</v>
      </c>
      <c r="M80" t="b">
        <f t="shared" si="20"/>
        <v>1</v>
      </c>
      <c r="N80" t="b">
        <f t="shared" si="21"/>
        <v>0</v>
      </c>
      <c r="O80">
        <f t="shared" si="25"/>
        <v>5</v>
      </c>
      <c r="P80" s="31">
        <f t="shared" si="22"/>
        <v>774.62238951120526</v>
      </c>
      <c r="Q80" t="str">
        <f t="shared" si="23"/>
        <v>WT</v>
      </c>
      <c r="R80" s="32"/>
      <c r="S80" t="str">
        <f t="shared" si="24"/>
        <v>WT</v>
      </c>
    </row>
    <row r="81" spans="1:19" x14ac:dyDescent="0.2">
      <c r="A81" t="s">
        <v>517</v>
      </c>
      <c r="B81" s="29">
        <f t="shared" si="13"/>
        <v>45904.352727826183</v>
      </c>
      <c r="C81" s="29">
        <f t="shared" si="14"/>
        <v>45904.686061159518</v>
      </c>
      <c r="D81">
        <v>-31.979231003999999</v>
      </c>
      <c r="E81">
        <v>115.817923131</v>
      </c>
      <c r="F81">
        <v>1.087</v>
      </c>
      <c r="G81">
        <v>0</v>
      </c>
      <c r="H81" s="30">
        <f t="shared" si="15"/>
        <v>5.2019218448549509</v>
      </c>
      <c r="I81" s="31">
        <f t="shared" si="16"/>
        <v>297.33897935087936</v>
      </c>
      <c r="J81" t="b">
        <f t="shared" si="17"/>
        <v>1</v>
      </c>
      <c r="K81" t="b">
        <f t="shared" si="18"/>
        <v>0</v>
      </c>
      <c r="L81" t="b">
        <f t="shared" si="19"/>
        <v>0</v>
      </c>
      <c r="M81" t="b">
        <f t="shared" si="20"/>
        <v>1</v>
      </c>
      <c r="N81" t="b">
        <f t="shared" si="21"/>
        <v>0</v>
      </c>
      <c r="O81">
        <f t="shared" si="25"/>
        <v>5</v>
      </c>
      <c r="P81" s="31">
        <f t="shared" si="22"/>
        <v>774.62238951120526</v>
      </c>
      <c r="Q81" t="str">
        <f t="shared" si="23"/>
        <v>WT</v>
      </c>
      <c r="R81" s="32"/>
      <c r="S81" t="str">
        <f t="shared" si="24"/>
        <v>WT</v>
      </c>
    </row>
    <row r="82" spans="1:19" x14ac:dyDescent="0.2">
      <c r="A82" t="s">
        <v>518</v>
      </c>
      <c r="B82" s="29">
        <f t="shared" si="13"/>
        <v>45904.352788033611</v>
      </c>
      <c r="C82" s="29">
        <f t="shared" si="14"/>
        <v>45904.686121366947</v>
      </c>
      <c r="D82">
        <v>-31.979232005</v>
      </c>
      <c r="E82">
        <v>115.817855862</v>
      </c>
      <c r="F82">
        <v>1.22</v>
      </c>
      <c r="G82">
        <v>0</v>
      </c>
      <c r="H82" s="30">
        <f t="shared" si="15"/>
        <v>5.1902818959206343</v>
      </c>
      <c r="I82" s="31">
        <f t="shared" si="16"/>
        <v>293.36182242587915</v>
      </c>
      <c r="J82" t="b">
        <f t="shared" si="17"/>
        <v>1</v>
      </c>
      <c r="K82" t="b">
        <f t="shared" si="18"/>
        <v>0</v>
      </c>
      <c r="L82" t="b">
        <f t="shared" si="19"/>
        <v>0</v>
      </c>
      <c r="M82" t="b">
        <f t="shared" si="20"/>
        <v>1</v>
      </c>
      <c r="N82" t="b">
        <f t="shared" si="21"/>
        <v>0</v>
      </c>
      <c r="O82">
        <f t="shared" si="25"/>
        <v>5</v>
      </c>
      <c r="P82" s="31">
        <f t="shared" si="22"/>
        <v>774.62238951120526</v>
      </c>
      <c r="Q82" t="str">
        <f t="shared" si="23"/>
        <v>WT</v>
      </c>
      <c r="R82" s="32"/>
      <c r="S82" t="str">
        <f t="shared" si="24"/>
        <v>WT</v>
      </c>
    </row>
    <row r="83" spans="1:19" x14ac:dyDescent="0.2">
      <c r="A83" t="s">
        <v>519</v>
      </c>
      <c r="B83" s="29">
        <f t="shared" si="13"/>
        <v>45904.352848106319</v>
      </c>
      <c r="C83" s="29">
        <f t="shared" si="14"/>
        <v>45904.686181439654</v>
      </c>
      <c r="D83">
        <v>-31.979231415000001</v>
      </c>
      <c r="E83">
        <v>115.817785472</v>
      </c>
      <c r="F83">
        <v>1.2789999999999999</v>
      </c>
      <c r="G83">
        <v>0</v>
      </c>
      <c r="H83" s="30">
        <f t="shared" si="15"/>
        <v>5.2122303284704685</v>
      </c>
      <c r="I83" s="31">
        <f t="shared" si="16"/>
        <v>289.43742212158747</v>
      </c>
      <c r="J83" t="b">
        <f t="shared" si="17"/>
        <v>1</v>
      </c>
      <c r="K83" t="b">
        <f t="shared" si="18"/>
        <v>0</v>
      </c>
      <c r="L83" t="b">
        <f t="shared" si="19"/>
        <v>0</v>
      </c>
      <c r="M83" t="b">
        <f t="shared" si="20"/>
        <v>1</v>
      </c>
      <c r="N83" t="b">
        <f t="shared" si="21"/>
        <v>0</v>
      </c>
      <c r="O83">
        <f t="shared" si="25"/>
        <v>5</v>
      </c>
      <c r="P83" s="31">
        <f t="shared" si="22"/>
        <v>774.62238951120526</v>
      </c>
      <c r="Q83" t="str">
        <f t="shared" si="23"/>
        <v>WT</v>
      </c>
      <c r="R83" s="32"/>
      <c r="S83" t="str">
        <f t="shared" si="24"/>
        <v>WT</v>
      </c>
    </row>
    <row r="84" spans="1:19" x14ac:dyDescent="0.2">
      <c r="A84" t="s">
        <v>520</v>
      </c>
      <c r="B84" s="29">
        <f t="shared" si="13"/>
        <v>45904.352908433058</v>
      </c>
      <c r="C84" s="29">
        <f t="shared" si="14"/>
        <v>45904.686241766394</v>
      </c>
      <c r="D84">
        <v>-31.979230744999999</v>
      </c>
      <c r="E84">
        <v>115.81771536700001</v>
      </c>
      <c r="F84">
        <v>1.2689999999999999</v>
      </c>
      <c r="G84">
        <v>0</v>
      </c>
      <c r="H84" s="30">
        <f t="shared" si="15"/>
        <v>5.010934523306787</v>
      </c>
      <c r="I84" s="31">
        <f t="shared" si="16"/>
        <v>285.63622036434248</v>
      </c>
      <c r="J84" t="b">
        <f t="shared" si="17"/>
        <v>1</v>
      </c>
      <c r="K84" t="b">
        <f t="shared" si="18"/>
        <v>0</v>
      </c>
      <c r="L84" t="b">
        <f t="shared" si="19"/>
        <v>0</v>
      </c>
      <c r="M84" t="b">
        <f t="shared" si="20"/>
        <v>1</v>
      </c>
      <c r="N84" t="b">
        <f t="shared" si="21"/>
        <v>0</v>
      </c>
      <c r="O84">
        <f t="shared" si="25"/>
        <v>5</v>
      </c>
      <c r="P84" s="31">
        <f t="shared" si="22"/>
        <v>774.62238951120526</v>
      </c>
      <c r="Q84" t="str">
        <f t="shared" si="23"/>
        <v>WT</v>
      </c>
      <c r="R84" s="32"/>
      <c r="S84" t="str">
        <f t="shared" si="24"/>
        <v>WT</v>
      </c>
    </row>
    <row r="85" spans="1:19" x14ac:dyDescent="0.2">
      <c r="A85" t="s">
        <v>521</v>
      </c>
      <c r="B85" s="29">
        <f t="shared" si="13"/>
        <v>45904.352966429986</v>
      </c>
      <c r="C85" s="29">
        <f t="shared" si="14"/>
        <v>45904.686299763322</v>
      </c>
      <c r="D85">
        <v>-31.979226599</v>
      </c>
      <c r="E85">
        <v>115.817655634</v>
      </c>
      <c r="F85">
        <v>1.1279999999999999</v>
      </c>
      <c r="G85">
        <v>0</v>
      </c>
      <c r="H85" s="30">
        <f t="shared" si="15"/>
        <v>5.0053314305841923</v>
      </c>
      <c r="I85" s="31">
        <f t="shared" si="16"/>
        <v>282.80787860760148</v>
      </c>
      <c r="J85" t="b">
        <f t="shared" si="17"/>
        <v>1</v>
      </c>
      <c r="K85" t="b">
        <f t="shared" si="18"/>
        <v>0</v>
      </c>
      <c r="L85" t="b">
        <f t="shared" si="19"/>
        <v>0</v>
      </c>
      <c r="M85" t="b">
        <f t="shared" si="20"/>
        <v>1</v>
      </c>
      <c r="N85" t="b">
        <f t="shared" si="21"/>
        <v>0</v>
      </c>
      <c r="O85">
        <f t="shared" si="25"/>
        <v>5</v>
      </c>
      <c r="P85" s="31">
        <f t="shared" si="22"/>
        <v>774.62238951120526</v>
      </c>
      <c r="Q85" t="str">
        <f t="shared" si="23"/>
        <v>WT</v>
      </c>
      <c r="R85" s="32"/>
      <c r="S85" t="str">
        <f t="shared" si="24"/>
        <v>WT</v>
      </c>
    </row>
    <row r="86" spans="1:19" x14ac:dyDescent="0.2">
      <c r="A86" t="s">
        <v>522</v>
      </c>
      <c r="B86" s="29">
        <f t="shared" si="13"/>
        <v>45904.353024362063</v>
      </c>
      <c r="C86" s="29">
        <f t="shared" si="14"/>
        <v>45904.686357695398</v>
      </c>
      <c r="D86">
        <v>-31.979225816</v>
      </c>
      <c r="E86">
        <v>115.817589685</v>
      </c>
      <c r="F86">
        <v>1.2430000000000001</v>
      </c>
      <c r="G86">
        <v>0</v>
      </c>
      <c r="H86" s="30">
        <f t="shared" si="15"/>
        <v>5.1909287692978978</v>
      </c>
      <c r="I86" s="31">
        <f t="shared" si="16"/>
        <v>279.43129039415413</v>
      </c>
      <c r="J86" t="b">
        <f t="shared" si="17"/>
        <v>1</v>
      </c>
      <c r="K86" t="b">
        <f t="shared" si="18"/>
        <v>0</v>
      </c>
      <c r="L86" t="b">
        <f t="shared" si="19"/>
        <v>0</v>
      </c>
      <c r="M86" t="b">
        <f t="shared" si="20"/>
        <v>1</v>
      </c>
      <c r="N86" t="b">
        <f t="shared" si="21"/>
        <v>0</v>
      </c>
      <c r="O86">
        <f t="shared" si="25"/>
        <v>5</v>
      </c>
      <c r="P86" s="31">
        <f t="shared" si="22"/>
        <v>774.62238951120526</v>
      </c>
      <c r="Q86" t="str">
        <f t="shared" si="23"/>
        <v>WT</v>
      </c>
      <c r="R86" s="32"/>
      <c r="S86" t="str">
        <f t="shared" si="24"/>
        <v>WT</v>
      </c>
    </row>
    <row r="87" spans="1:19" x14ac:dyDescent="0.2">
      <c r="A87" t="s">
        <v>523</v>
      </c>
      <c r="B87" s="29">
        <f t="shared" si="13"/>
        <v>45904.353084442257</v>
      </c>
      <c r="C87" s="29">
        <f t="shared" si="14"/>
        <v>45904.686417775592</v>
      </c>
      <c r="D87">
        <v>-31.979234740999999</v>
      </c>
      <c r="E87">
        <v>115.81752323400001</v>
      </c>
      <c r="F87">
        <v>1.222</v>
      </c>
      <c r="G87">
        <v>0</v>
      </c>
      <c r="H87" s="30">
        <f t="shared" si="15"/>
        <v>5.0078730331733823</v>
      </c>
      <c r="I87" s="31">
        <f t="shared" si="16"/>
        <v>275.21401071414925</v>
      </c>
      <c r="J87" t="b">
        <f t="shared" si="17"/>
        <v>1</v>
      </c>
      <c r="K87" t="b">
        <f t="shared" si="18"/>
        <v>0</v>
      </c>
      <c r="L87" t="b">
        <f t="shared" si="19"/>
        <v>0</v>
      </c>
      <c r="M87" t="b">
        <f t="shared" si="20"/>
        <v>1</v>
      </c>
      <c r="N87" t="b">
        <f t="shared" si="21"/>
        <v>0</v>
      </c>
      <c r="O87">
        <f t="shared" si="25"/>
        <v>5</v>
      </c>
      <c r="P87" s="31">
        <f t="shared" si="22"/>
        <v>774.62238951120526</v>
      </c>
      <c r="Q87" t="str">
        <f t="shared" si="23"/>
        <v>WT</v>
      </c>
      <c r="R87" s="32"/>
      <c r="S87" t="str">
        <f t="shared" si="24"/>
        <v>WT</v>
      </c>
    </row>
    <row r="88" spans="1:19" x14ac:dyDescent="0.2">
      <c r="A88" t="s">
        <v>524</v>
      </c>
      <c r="B88" s="29">
        <f t="shared" si="13"/>
        <v>45904.35314240375</v>
      </c>
      <c r="C88" s="29">
        <f t="shared" si="14"/>
        <v>45904.686475737086</v>
      </c>
      <c r="D88">
        <v>-31.979241772999998</v>
      </c>
      <c r="E88">
        <v>115.81748870200001</v>
      </c>
      <c r="F88">
        <v>0.66900000000000004</v>
      </c>
      <c r="G88">
        <v>0</v>
      </c>
      <c r="H88" s="30">
        <f t="shared" si="15"/>
        <v>5.1795283332467079</v>
      </c>
      <c r="I88" s="31">
        <f t="shared" si="16"/>
        <v>272.82836859716957</v>
      </c>
      <c r="J88" t="b">
        <f t="shared" si="17"/>
        <v>1</v>
      </c>
      <c r="K88" t="b">
        <f t="shared" si="18"/>
        <v>0</v>
      </c>
      <c r="L88" t="b">
        <f t="shared" si="19"/>
        <v>0</v>
      </c>
      <c r="M88" t="b">
        <f t="shared" si="20"/>
        <v>1</v>
      </c>
      <c r="N88" t="b">
        <f t="shared" si="21"/>
        <v>0</v>
      </c>
      <c r="O88">
        <f t="shared" si="25"/>
        <v>5</v>
      </c>
      <c r="P88" s="31">
        <f t="shared" si="22"/>
        <v>774.62238951120526</v>
      </c>
      <c r="Q88" t="str">
        <f t="shared" si="23"/>
        <v>WT</v>
      </c>
      <c r="R88" s="32"/>
      <c r="S88" t="str">
        <f t="shared" si="24"/>
        <v>WT</v>
      </c>
    </row>
    <row r="89" spans="1:19" x14ac:dyDescent="0.2">
      <c r="A89" t="s">
        <v>525</v>
      </c>
      <c r="B89" s="29">
        <f t="shared" si="13"/>
        <v>45904.353202351995</v>
      </c>
      <c r="C89" s="29">
        <f t="shared" si="14"/>
        <v>45904.68653568533</v>
      </c>
      <c r="D89">
        <v>-31.979236710999999</v>
      </c>
      <c r="E89">
        <v>115.81745053100001</v>
      </c>
      <c r="F89">
        <v>0.70399999999999996</v>
      </c>
      <c r="G89">
        <v>0</v>
      </c>
      <c r="H89" s="30">
        <f t="shared" si="15"/>
        <v>5.0176760880276561</v>
      </c>
      <c r="I89" s="31">
        <f t="shared" si="16"/>
        <v>271.4379842973529</v>
      </c>
      <c r="J89" t="b">
        <f t="shared" si="17"/>
        <v>1</v>
      </c>
      <c r="K89" t="b">
        <f t="shared" si="18"/>
        <v>0</v>
      </c>
      <c r="L89" t="b">
        <f t="shared" si="19"/>
        <v>0</v>
      </c>
      <c r="M89" t="b">
        <f t="shared" si="20"/>
        <v>1</v>
      </c>
      <c r="N89" t="b">
        <f t="shared" si="21"/>
        <v>0</v>
      </c>
      <c r="O89">
        <f t="shared" si="25"/>
        <v>5</v>
      </c>
      <c r="P89" s="31">
        <f t="shared" si="22"/>
        <v>774.62238951120526</v>
      </c>
      <c r="Q89" t="str">
        <f t="shared" si="23"/>
        <v>WT</v>
      </c>
      <c r="R89" s="32"/>
      <c r="S89" t="str">
        <f t="shared" si="24"/>
        <v>WT</v>
      </c>
    </row>
    <row r="90" spans="1:19" x14ac:dyDescent="0.2">
      <c r="A90" t="s">
        <v>526</v>
      </c>
      <c r="B90" s="29">
        <f t="shared" si="13"/>
        <v>45904.353260426949</v>
      </c>
      <c r="C90" s="29">
        <f t="shared" si="14"/>
        <v>45904.686593760285</v>
      </c>
      <c r="D90">
        <v>-31.979207752000001</v>
      </c>
      <c r="E90">
        <v>115.81741898200001</v>
      </c>
      <c r="F90">
        <v>0.874</v>
      </c>
      <c r="G90">
        <v>0</v>
      </c>
      <c r="H90" s="30">
        <f t="shared" si="15"/>
        <v>5.1921357633545995</v>
      </c>
      <c r="I90" s="31">
        <f t="shared" si="16"/>
        <v>272.70091708978219</v>
      </c>
      <c r="J90" t="b">
        <f t="shared" si="17"/>
        <v>1</v>
      </c>
      <c r="K90" t="b">
        <f t="shared" si="18"/>
        <v>0</v>
      </c>
      <c r="L90" t="b">
        <f t="shared" si="19"/>
        <v>0</v>
      </c>
      <c r="M90" t="b">
        <f t="shared" si="20"/>
        <v>1</v>
      </c>
      <c r="N90" t="b">
        <f t="shared" si="21"/>
        <v>0</v>
      </c>
      <c r="O90">
        <f t="shared" si="25"/>
        <v>5</v>
      </c>
      <c r="P90" s="31">
        <f t="shared" si="22"/>
        <v>774.62238951120526</v>
      </c>
      <c r="Q90" t="str">
        <f t="shared" si="23"/>
        <v>WT</v>
      </c>
      <c r="R90" s="32"/>
      <c r="S90" t="str">
        <f t="shared" si="24"/>
        <v>WT</v>
      </c>
    </row>
    <row r="91" spans="1:19" x14ac:dyDescent="0.2">
      <c r="A91" t="s">
        <v>527</v>
      </c>
      <c r="B91" s="29">
        <f t="shared" si="13"/>
        <v>45904.353320521113</v>
      </c>
      <c r="C91" s="29">
        <f t="shared" si="14"/>
        <v>45904.686653854449</v>
      </c>
      <c r="D91">
        <v>-31.979198217</v>
      </c>
      <c r="E91">
        <v>115.817412547</v>
      </c>
      <c r="F91">
        <v>0.23499999999999999</v>
      </c>
      <c r="G91">
        <v>0</v>
      </c>
      <c r="H91" s="30">
        <f t="shared" si="15"/>
        <v>5.1897638943046331</v>
      </c>
      <c r="I91" s="31">
        <f t="shared" si="16"/>
        <v>273.31627595433861</v>
      </c>
      <c r="J91" t="b">
        <f t="shared" si="17"/>
        <v>1</v>
      </c>
      <c r="K91" t="b">
        <f t="shared" si="18"/>
        <v>0</v>
      </c>
      <c r="L91" t="b">
        <f t="shared" si="19"/>
        <v>0</v>
      </c>
      <c r="M91" t="b">
        <f t="shared" si="20"/>
        <v>1</v>
      </c>
      <c r="N91" t="b">
        <f t="shared" si="21"/>
        <v>0</v>
      </c>
      <c r="O91">
        <f t="shared" si="25"/>
        <v>5</v>
      </c>
      <c r="P91" s="31">
        <f t="shared" si="22"/>
        <v>774.62238951120526</v>
      </c>
      <c r="Q91" t="str">
        <f t="shared" si="23"/>
        <v>WT</v>
      </c>
      <c r="R91" s="32"/>
      <c r="S91" t="str">
        <f t="shared" si="24"/>
        <v>WT</v>
      </c>
    </row>
    <row r="92" spans="1:19" x14ac:dyDescent="0.2">
      <c r="A92" t="s">
        <v>528</v>
      </c>
      <c r="B92" s="29">
        <f t="shared" si="13"/>
        <v>45904.353380587825</v>
      </c>
      <c r="C92" s="29">
        <f t="shared" si="14"/>
        <v>45904.686713921161</v>
      </c>
      <c r="D92">
        <v>-31.979225432</v>
      </c>
      <c r="E92">
        <v>115.817415887</v>
      </c>
      <c r="F92">
        <v>0.58599999999999997</v>
      </c>
      <c r="G92">
        <v>0</v>
      </c>
      <c r="H92" s="30">
        <f t="shared" si="15"/>
        <v>5.2222081460058689</v>
      </c>
      <c r="I92" s="31">
        <f t="shared" si="16"/>
        <v>270.85437958479105</v>
      </c>
      <c r="J92" t="b">
        <f t="shared" si="17"/>
        <v>1</v>
      </c>
      <c r="K92" t="b">
        <f t="shared" si="18"/>
        <v>0</v>
      </c>
      <c r="L92" t="b">
        <f t="shared" si="19"/>
        <v>0</v>
      </c>
      <c r="M92" t="b">
        <f t="shared" si="20"/>
        <v>1</v>
      </c>
      <c r="N92" t="b">
        <f t="shared" si="21"/>
        <v>0</v>
      </c>
      <c r="O92">
        <f t="shared" si="25"/>
        <v>5</v>
      </c>
      <c r="P92" s="31">
        <f t="shared" si="22"/>
        <v>774.62238951120526</v>
      </c>
      <c r="Q92" t="str">
        <f t="shared" si="23"/>
        <v>WT</v>
      </c>
      <c r="R92" s="32"/>
      <c r="S92" t="str">
        <f t="shared" si="24"/>
        <v>WT</v>
      </c>
    </row>
    <row r="93" spans="1:19" x14ac:dyDescent="0.2">
      <c r="A93" t="s">
        <v>529</v>
      </c>
      <c r="B93" s="29">
        <f t="shared" si="13"/>
        <v>45904.353441030049</v>
      </c>
      <c r="C93" s="29">
        <f t="shared" si="14"/>
        <v>45904.686774363385</v>
      </c>
      <c r="D93">
        <v>-31.979259374000002</v>
      </c>
      <c r="E93">
        <v>115.817410541</v>
      </c>
      <c r="F93">
        <v>0.72899999999999998</v>
      </c>
      <c r="G93">
        <v>0</v>
      </c>
      <c r="H93" s="30">
        <f t="shared" si="15"/>
        <v>5.0073845777660608</v>
      </c>
      <c r="I93" s="31">
        <f t="shared" si="16"/>
        <v>267.34362338259763</v>
      </c>
      <c r="J93" t="b">
        <f t="shared" si="17"/>
        <v>1</v>
      </c>
      <c r="K93" t="b">
        <f t="shared" si="18"/>
        <v>0</v>
      </c>
      <c r="L93" t="b">
        <f t="shared" si="19"/>
        <v>0</v>
      </c>
      <c r="M93" t="b">
        <f t="shared" si="20"/>
        <v>1</v>
      </c>
      <c r="N93" t="b">
        <f t="shared" si="21"/>
        <v>0</v>
      </c>
      <c r="O93">
        <f t="shared" si="25"/>
        <v>5</v>
      </c>
      <c r="P93" s="31">
        <f t="shared" si="22"/>
        <v>774.62238951120526</v>
      </c>
      <c r="Q93" t="str">
        <f t="shared" si="23"/>
        <v>WT</v>
      </c>
      <c r="R93" s="32"/>
      <c r="S93" t="str">
        <f t="shared" si="24"/>
        <v>WT</v>
      </c>
    </row>
    <row r="94" spans="1:19" x14ac:dyDescent="0.2">
      <c r="A94" t="s">
        <v>530</v>
      </c>
      <c r="B94" s="29">
        <f t="shared" si="13"/>
        <v>45904.353498985889</v>
      </c>
      <c r="C94" s="29">
        <f t="shared" si="14"/>
        <v>45904.686832319225</v>
      </c>
      <c r="D94">
        <v>-31.979281460999999</v>
      </c>
      <c r="E94">
        <v>115.817394423</v>
      </c>
      <c r="F94">
        <v>0.57699999999999996</v>
      </c>
      <c r="G94">
        <v>0</v>
      </c>
      <c r="H94" s="30">
        <f t="shared" si="15"/>
        <v>5.1912493770942092</v>
      </c>
      <c r="I94" s="31">
        <f t="shared" si="16"/>
        <v>264.45586784836621</v>
      </c>
      <c r="J94" t="b">
        <f t="shared" si="17"/>
        <v>1</v>
      </c>
      <c r="K94" t="b">
        <f t="shared" si="18"/>
        <v>0</v>
      </c>
      <c r="L94" t="b">
        <f t="shared" si="19"/>
        <v>0</v>
      </c>
      <c r="M94" t="b">
        <f t="shared" si="20"/>
        <v>1</v>
      </c>
      <c r="N94" t="b">
        <f t="shared" si="21"/>
        <v>0</v>
      </c>
      <c r="O94">
        <f t="shared" si="25"/>
        <v>5</v>
      </c>
      <c r="P94" s="31">
        <f t="shared" si="22"/>
        <v>774.62238951120526</v>
      </c>
      <c r="Q94" t="str">
        <f t="shared" si="23"/>
        <v>WT</v>
      </c>
      <c r="R94" s="32"/>
      <c r="S94" t="str">
        <f t="shared" si="24"/>
        <v>WT</v>
      </c>
    </row>
    <row r="95" spans="1:19" x14ac:dyDescent="0.2">
      <c r="A95" t="s">
        <v>531</v>
      </c>
      <c r="B95" s="29">
        <f t="shared" si="13"/>
        <v>45904.353559069794</v>
      </c>
      <c r="C95" s="29">
        <f t="shared" si="14"/>
        <v>45904.68689240313</v>
      </c>
      <c r="D95">
        <v>-31.979293003999999</v>
      </c>
      <c r="E95">
        <v>115.817360736</v>
      </c>
      <c r="F95">
        <v>0.66</v>
      </c>
      <c r="G95">
        <v>0</v>
      </c>
      <c r="H95" s="30">
        <f t="shared" si="15"/>
        <v>5.1794616971164942</v>
      </c>
      <c r="I95" s="31">
        <f t="shared" si="16"/>
        <v>261.74445652290729</v>
      </c>
      <c r="J95" t="b">
        <f t="shared" si="17"/>
        <v>1</v>
      </c>
      <c r="K95" t="b">
        <f t="shared" si="18"/>
        <v>0</v>
      </c>
      <c r="L95" t="b">
        <f t="shared" si="19"/>
        <v>0</v>
      </c>
      <c r="M95" t="b">
        <f t="shared" si="20"/>
        <v>1</v>
      </c>
      <c r="N95" t="b">
        <f t="shared" si="21"/>
        <v>0</v>
      </c>
      <c r="O95">
        <f t="shared" si="25"/>
        <v>5</v>
      </c>
      <c r="P95" s="31">
        <f t="shared" si="22"/>
        <v>774.62238951120526</v>
      </c>
      <c r="Q95" t="str">
        <f t="shared" si="23"/>
        <v>WT</v>
      </c>
      <c r="R95" s="32"/>
      <c r="S95" t="str">
        <f t="shared" si="24"/>
        <v>WT</v>
      </c>
    </row>
    <row r="96" spans="1:19" x14ac:dyDescent="0.2">
      <c r="A96" t="s">
        <v>532</v>
      </c>
      <c r="B96" s="29">
        <f t="shared" si="13"/>
        <v>45904.353619017267</v>
      </c>
      <c r="C96" s="29">
        <f t="shared" si="14"/>
        <v>45904.686952350603</v>
      </c>
      <c r="D96">
        <v>-31.979320416</v>
      </c>
      <c r="E96">
        <v>115.817314692</v>
      </c>
      <c r="F96">
        <v>1.024</v>
      </c>
      <c r="G96">
        <v>0</v>
      </c>
      <c r="H96" s="30">
        <f t="shared" si="15"/>
        <v>5.2012240514159203</v>
      </c>
      <c r="I96" s="31">
        <f t="shared" si="16"/>
        <v>256.94004753363072</v>
      </c>
      <c r="J96" t="b">
        <f t="shared" si="17"/>
        <v>1</v>
      </c>
      <c r="K96" t="b">
        <f t="shared" si="18"/>
        <v>0</v>
      </c>
      <c r="L96" t="b">
        <f t="shared" si="19"/>
        <v>0</v>
      </c>
      <c r="M96" t="b">
        <f t="shared" si="20"/>
        <v>1</v>
      </c>
      <c r="N96" t="b">
        <f t="shared" si="21"/>
        <v>0</v>
      </c>
      <c r="O96">
        <f t="shared" si="25"/>
        <v>5</v>
      </c>
      <c r="P96" s="31">
        <f t="shared" si="22"/>
        <v>774.62238951120526</v>
      </c>
      <c r="Q96" t="str">
        <f t="shared" si="23"/>
        <v>WT</v>
      </c>
      <c r="R96" s="32"/>
      <c r="S96" t="str">
        <f t="shared" si="24"/>
        <v>WT</v>
      </c>
    </row>
    <row r="97" spans="1:19" x14ac:dyDescent="0.2">
      <c r="A97" t="s">
        <v>533</v>
      </c>
      <c r="B97" s="29">
        <f t="shared" si="13"/>
        <v>45904.35367921662</v>
      </c>
      <c r="C97" s="29">
        <f t="shared" si="14"/>
        <v>45904.687012549955</v>
      </c>
      <c r="D97">
        <v>-31.979354933</v>
      </c>
      <c r="E97">
        <v>115.81726592699999</v>
      </c>
      <c r="F97">
        <v>1.1519999999999999</v>
      </c>
      <c r="G97">
        <v>0</v>
      </c>
      <c r="H97" s="30">
        <f t="shared" si="15"/>
        <v>5.1908432738855481</v>
      </c>
      <c r="I97" s="31">
        <f t="shared" si="16"/>
        <v>251.3405554023021</v>
      </c>
      <c r="J97" t="b">
        <f t="shared" si="17"/>
        <v>1</v>
      </c>
      <c r="K97" t="b">
        <f t="shared" si="18"/>
        <v>0</v>
      </c>
      <c r="L97" t="b">
        <f t="shared" si="19"/>
        <v>0</v>
      </c>
      <c r="M97" t="b">
        <f t="shared" si="20"/>
        <v>1</v>
      </c>
      <c r="N97" t="b">
        <f t="shared" si="21"/>
        <v>0</v>
      </c>
      <c r="O97">
        <f t="shared" si="25"/>
        <v>5</v>
      </c>
      <c r="P97" s="31">
        <f t="shared" si="22"/>
        <v>774.62238951120526</v>
      </c>
      <c r="Q97" t="str">
        <f t="shared" si="23"/>
        <v>WT</v>
      </c>
      <c r="R97" s="32"/>
      <c r="S97" t="str">
        <f t="shared" si="24"/>
        <v>WT</v>
      </c>
    </row>
    <row r="98" spans="1:19" x14ac:dyDescent="0.2">
      <c r="A98" t="s">
        <v>534</v>
      </c>
      <c r="B98" s="29">
        <f t="shared" si="13"/>
        <v>45904.353739295824</v>
      </c>
      <c r="C98" s="29">
        <f t="shared" si="14"/>
        <v>45904.68707262916</v>
      </c>
      <c r="D98">
        <v>-31.979388606000001</v>
      </c>
      <c r="E98">
        <v>115.817231909</v>
      </c>
      <c r="F98">
        <v>0.95</v>
      </c>
      <c r="G98">
        <v>0</v>
      </c>
      <c r="H98" s="30">
        <f t="shared" si="15"/>
        <v>5.0082194153219461</v>
      </c>
      <c r="I98" s="31">
        <f t="shared" si="16"/>
        <v>246.51046566677155</v>
      </c>
      <c r="J98" t="b">
        <f t="shared" si="17"/>
        <v>1</v>
      </c>
      <c r="K98" t="b">
        <f t="shared" si="18"/>
        <v>0</v>
      </c>
      <c r="L98" t="b">
        <f t="shared" si="19"/>
        <v>0</v>
      </c>
      <c r="M98" t="b">
        <f t="shared" si="20"/>
        <v>1</v>
      </c>
      <c r="N98" t="b">
        <f t="shared" si="21"/>
        <v>0</v>
      </c>
      <c r="O98">
        <f t="shared" si="25"/>
        <v>5</v>
      </c>
      <c r="P98" s="31">
        <f t="shared" si="22"/>
        <v>774.62238951120526</v>
      </c>
      <c r="Q98" t="str">
        <f t="shared" si="23"/>
        <v>WT</v>
      </c>
      <c r="R98" s="32"/>
      <c r="S98" t="str">
        <f t="shared" si="24"/>
        <v>WT</v>
      </c>
    </row>
    <row r="99" spans="1:19" x14ac:dyDescent="0.2">
      <c r="A99" t="s">
        <v>535</v>
      </c>
      <c r="B99" s="29">
        <f t="shared" si="13"/>
        <v>45904.353797261327</v>
      </c>
      <c r="C99" s="29">
        <f t="shared" si="14"/>
        <v>45904.687130594662</v>
      </c>
      <c r="D99">
        <v>-31.979438967</v>
      </c>
      <c r="E99">
        <v>115.81720486099999</v>
      </c>
      <c r="F99">
        <v>1.2290000000000001</v>
      </c>
      <c r="G99">
        <v>0</v>
      </c>
      <c r="H99" s="30">
        <f t="shared" si="15"/>
        <v>5.2350400015711784</v>
      </c>
      <c r="I99" s="31">
        <f t="shared" si="16"/>
        <v>240.37524161473004</v>
      </c>
      <c r="J99" t="b">
        <f t="shared" si="17"/>
        <v>1</v>
      </c>
      <c r="K99" t="b">
        <f t="shared" si="18"/>
        <v>0</v>
      </c>
      <c r="L99" t="b">
        <f t="shared" si="19"/>
        <v>0</v>
      </c>
      <c r="M99" t="b">
        <f t="shared" si="20"/>
        <v>1</v>
      </c>
      <c r="N99" t="b">
        <f t="shared" si="21"/>
        <v>0</v>
      </c>
      <c r="O99">
        <f t="shared" si="25"/>
        <v>5</v>
      </c>
      <c r="P99" s="31">
        <f t="shared" si="22"/>
        <v>774.62238951120526</v>
      </c>
      <c r="Q99" t="str">
        <f t="shared" si="23"/>
        <v>WT</v>
      </c>
      <c r="R99" s="32"/>
      <c r="S99" t="str">
        <f t="shared" si="24"/>
        <v>WT</v>
      </c>
    </row>
    <row r="100" spans="1:19" x14ac:dyDescent="0.2">
      <c r="A100" t="s">
        <v>536</v>
      </c>
      <c r="B100" s="29">
        <f t="shared" si="13"/>
        <v>45904.353857852067</v>
      </c>
      <c r="C100" s="29">
        <f t="shared" si="14"/>
        <v>45904.687191185403</v>
      </c>
      <c r="D100">
        <v>-31.979496719</v>
      </c>
      <c r="E100">
        <v>115.81719128899999</v>
      </c>
      <c r="F100">
        <v>1.2509999999999999</v>
      </c>
      <c r="G100">
        <v>0</v>
      </c>
      <c r="H100" s="30">
        <f t="shared" si="15"/>
        <v>5.1770646823570132</v>
      </c>
      <c r="I100" s="31">
        <f t="shared" si="16"/>
        <v>234.14590027288841</v>
      </c>
      <c r="J100" t="b">
        <f t="shared" si="17"/>
        <v>1</v>
      </c>
      <c r="K100" t="b">
        <f t="shared" si="18"/>
        <v>0</v>
      </c>
      <c r="L100" t="b">
        <f t="shared" si="19"/>
        <v>0</v>
      </c>
      <c r="M100" t="b">
        <f t="shared" si="20"/>
        <v>1</v>
      </c>
      <c r="N100" t="b">
        <f t="shared" si="21"/>
        <v>0</v>
      </c>
      <c r="O100">
        <f t="shared" si="25"/>
        <v>5</v>
      </c>
      <c r="P100" s="31">
        <f t="shared" si="22"/>
        <v>774.62238951120526</v>
      </c>
      <c r="Q100" t="str">
        <f t="shared" si="23"/>
        <v>WT</v>
      </c>
      <c r="R100" s="32"/>
      <c r="S100" t="str">
        <f t="shared" si="24"/>
        <v>WT</v>
      </c>
    </row>
    <row r="101" spans="1:19" x14ac:dyDescent="0.2">
      <c r="A101" t="s">
        <v>537</v>
      </c>
      <c r="B101" s="29">
        <f t="shared" si="13"/>
        <v>45904.353917771798</v>
      </c>
      <c r="C101" s="29">
        <f t="shared" si="14"/>
        <v>45904.687251105133</v>
      </c>
      <c r="D101">
        <v>-31.979547733</v>
      </c>
      <c r="E101">
        <v>115.817187258</v>
      </c>
      <c r="F101">
        <v>1.0980000000000001</v>
      </c>
      <c r="G101">
        <v>0</v>
      </c>
      <c r="H101" s="30">
        <f t="shared" si="15"/>
        <v>5.0001388415694237</v>
      </c>
      <c r="I101" s="31">
        <f t="shared" si="16"/>
        <v>229.03347238924457</v>
      </c>
      <c r="J101" t="b">
        <f t="shared" si="17"/>
        <v>1</v>
      </c>
      <c r="K101" t="b">
        <f t="shared" si="18"/>
        <v>0</v>
      </c>
      <c r="L101" t="b">
        <f t="shared" si="19"/>
        <v>0</v>
      </c>
      <c r="M101" t="b">
        <f t="shared" si="20"/>
        <v>1</v>
      </c>
      <c r="N101" t="b">
        <f t="shared" si="21"/>
        <v>0</v>
      </c>
      <c r="O101">
        <f t="shared" si="25"/>
        <v>5</v>
      </c>
      <c r="P101" s="31">
        <f t="shared" si="22"/>
        <v>774.62238951120526</v>
      </c>
      <c r="Q101" t="str">
        <f t="shared" si="23"/>
        <v>WT</v>
      </c>
      <c r="R101" s="32"/>
      <c r="S101" t="str">
        <f t="shared" si="24"/>
        <v>WT</v>
      </c>
    </row>
    <row r="102" spans="1:19" x14ac:dyDescent="0.2">
      <c r="A102" t="s">
        <v>538</v>
      </c>
      <c r="B102" s="29">
        <f t="shared" si="13"/>
        <v>45904.353975643775</v>
      </c>
      <c r="C102" s="29">
        <f t="shared" si="14"/>
        <v>45904.687308977111</v>
      </c>
      <c r="D102">
        <v>-31.979602657000001</v>
      </c>
      <c r="E102">
        <v>115.817188786</v>
      </c>
      <c r="F102">
        <v>1.222</v>
      </c>
      <c r="G102">
        <v>0</v>
      </c>
      <c r="H102" s="30">
        <f t="shared" si="15"/>
        <v>5.1885242108255625</v>
      </c>
      <c r="I102" s="31">
        <f t="shared" si="16"/>
        <v>223.84385139107255</v>
      </c>
      <c r="J102" t="b">
        <f t="shared" si="17"/>
        <v>1</v>
      </c>
      <c r="K102" t="b">
        <f t="shared" si="18"/>
        <v>0</v>
      </c>
      <c r="L102" t="b">
        <f t="shared" si="19"/>
        <v>0</v>
      </c>
      <c r="M102" t="b">
        <f t="shared" si="20"/>
        <v>1</v>
      </c>
      <c r="N102" t="b">
        <f t="shared" si="21"/>
        <v>0</v>
      </c>
      <c r="O102">
        <f t="shared" si="25"/>
        <v>5</v>
      </c>
      <c r="P102" s="31">
        <f t="shared" si="22"/>
        <v>774.62238951120526</v>
      </c>
      <c r="Q102" t="str">
        <f t="shared" si="23"/>
        <v>WT</v>
      </c>
      <c r="R102" s="32"/>
      <c r="S102" t="str">
        <f t="shared" si="24"/>
        <v>WT</v>
      </c>
    </row>
    <row r="103" spans="1:19" x14ac:dyDescent="0.2">
      <c r="A103" t="s">
        <v>539</v>
      </c>
      <c r="B103" s="29">
        <f t="shared" si="13"/>
        <v>45904.354035696138</v>
      </c>
      <c r="C103" s="29">
        <f t="shared" si="14"/>
        <v>45904.687369029474</v>
      </c>
      <c r="D103">
        <v>-31.979663435999999</v>
      </c>
      <c r="E103">
        <v>115.817192843</v>
      </c>
      <c r="F103">
        <v>1.3049999999999999</v>
      </c>
      <c r="G103">
        <v>0</v>
      </c>
      <c r="H103" s="30">
        <f t="shared" si="15"/>
        <v>5.0286314450204372</v>
      </c>
      <c r="I103" s="31">
        <f t="shared" si="16"/>
        <v>218.27435340468662</v>
      </c>
      <c r="J103" t="b">
        <f t="shared" si="17"/>
        <v>1</v>
      </c>
      <c r="K103" t="b">
        <f t="shared" si="18"/>
        <v>0</v>
      </c>
      <c r="L103" t="b">
        <f t="shared" si="19"/>
        <v>0</v>
      </c>
      <c r="M103" t="b">
        <f t="shared" si="20"/>
        <v>1</v>
      </c>
      <c r="N103" t="b">
        <f t="shared" si="21"/>
        <v>0</v>
      </c>
      <c r="O103">
        <f t="shared" si="25"/>
        <v>5</v>
      </c>
      <c r="P103" s="31">
        <f t="shared" si="22"/>
        <v>774.62238951120526</v>
      </c>
      <c r="Q103" t="str">
        <f t="shared" si="23"/>
        <v>WT</v>
      </c>
      <c r="R103" s="32"/>
      <c r="S103" t="str">
        <f t="shared" si="24"/>
        <v>WT</v>
      </c>
    </row>
    <row r="104" spans="1:19" x14ac:dyDescent="0.2">
      <c r="A104" t="s">
        <v>540</v>
      </c>
      <c r="B104" s="29">
        <f t="shared" si="13"/>
        <v>45904.354093897891</v>
      </c>
      <c r="C104" s="29">
        <f t="shared" si="14"/>
        <v>45904.687427231227</v>
      </c>
      <c r="D104">
        <v>-31.979717132000001</v>
      </c>
      <c r="E104">
        <v>115.817195997</v>
      </c>
      <c r="F104">
        <v>1.1890000000000001</v>
      </c>
      <c r="G104">
        <v>0</v>
      </c>
      <c r="H104" s="30">
        <f t="shared" si="15"/>
        <v>5.1800972549244761</v>
      </c>
      <c r="I104" s="31">
        <f t="shared" si="16"/>
        <v>213.38962975884775</v>
      </c>
      <c r="J104" t="b">
        <f t="shared" si="17"/>
        <v>1</v>
      </c>
      <c r="K104" t="b">
        <f t="shared" si="18"/>
        <v>0</v>
      </c>
      <c r="L104" t="b">
        <f t="shared" si="19"/>
        <v>0</v>
      </c>
      <c r="M104" t="b">
        <f t="shared" si="20"/>
        <v>1</v>
      </c>
      <c r="N104" t="b">
        <f t="shared" si="21"/>
        <v>0</v>
      </c>
      <c r="O104">
        <f t="shared" si="25"/>
        <v>5</v>
      </c>
      <c r="P104" s="31">
        <f t="shared" si="22"/>
        <v>774.62238951120526</v>
      </c>
      <c r="Q104" t="str">
        <f t="shared" si="23"/>
        <v>WT</v>
      </c>
      <c r="R104" s="32"/>
      <c r="S104" t="str">
        <f t="shared" si="24"/>
        <v>WT</v>
      </c>
    </row>
    <row r="105" spans="1:19" x14ac:dyDescent="0.2">
      <c r="A105" t="s">
        <v>541</v>
      </c>
      <c r="B105" s="29">
        <f t="shared" si="13"/>
        <v>45904.354153852721</v>
      </c>
      <c r="C105" s="29">
        <f t="shared" si="14"/>
        <v>45904.687487186056</v>
      </c>
      <c r="D105">
        <v>-31.979770979000001</v>
      </c>
      <c r="E105">
        <v>115.81719302099999</v>
      </c>
      <c r="F105">
        <v>1.157</v>
      </c>
      <c r="G105">
        <v>0</v>
      </c>
      <c r="H105" s="30">
        <f t="shared" si="15"/>
        <v>5.0085167633369565</v>
      </c>
      <c r="I105" s="31">
        <f t="shared" si="16"/>
        <v>208.22705384776117</v>
      </c>
      <c r="J105" t="b">
        <f t="shared" si="17"/>
        <v>1</v>
      </c>
      <c r="K105" t="b">
        <f t="shared" si="18"/>
        <v>0</v>
      </c>
      <c r="L105" t="b">
        <f t="shared" si="19"/>
        <v>0</v>
      </c>
      <c r="M105" t="b">
        <f t="shared" si="20"/>
        <v>1</v>
      </c>
      <c r="N105" t="b">
        <f t="shared" si="21"/>
        <v>0</v>
      </c>
      <c r="O105">
        <f t="shared" si="25"/>
        <v>5</v>
      </c>
      <c r="P105" s="31">
        <f t="shared" si="22"/>
        <v>774.62238951120526</v>
      </c>
      <c r="Q105" t="str">
        <f t="shared" si="23"/>
        <v>WT</v>
      </c>
      <c r="R105" s="32"/>
      <c r="S105" t="str">
        <f t="shared" si="24"/>
        <v>WT</v>
      </c>
    </row>
    <row r="106" spans="1:19" x14ac:dyDescent="0.2">
      <c r="A106" t="s">
        <v>542</v>
      </c>
      <c r="B106" s="29">
        <f t="shared" si="13"/>
        <v>45904.354211821665</v>
      </c>
      <c r="C106" s="29">
        <f t="shared" si="14"/>
        <v>45904.687545155</v>
      </c>
      <c r="D106">
        <v>-31.979829008999999</v>
      </c>
      <c r="E106">
        <v>115.817181858</v>
      </c>
      <c r="F106">
        <v>1.3049999999999999</v>
      </c>
      <c r="G106">
        <v>0</v>
      </c>
      <c r="H106" s="30">
        <f t="shared" si="15"/>
        <v>5.1920320373028517</v>
      </c>
      <c r="I106" s="31">
        <f t="shared" si="16"/>
        <v>202.28973679226488</v>
      </c>
      <c r="J106" t="b">
        <f t="shared" si="17"/>
        <v>1</v>
      </c>
      <c r="K106" t="b">
        <f t="shared" si="18"/>
        <v>0</v>
      </c>
      <c r="L106" t="b">
        <f t="shared" si="19"/>
        <v>0</v>
      </c>
      <c r="M106" t="b">
        <f t="shared" si="20"/>
        <v>1</v>
      </c>
      <c r="N106" t="b">
        <f t="shared" si="21"/>
        <v>0</v>
      </c>
      <c r="O106">
        <f t="shared" si="25"/>
        <v>5</v>
      </c>
      <c r="P106" s="31">
        <f t="shared" si="22"/>
        <v>774.62238951120526</v>
      </c>
      <c r="Q106" t="str">
        <f t="shared" si="23"/>
        <v>WT</v>
      </c>
      <c r="R106" s="32"/>
      <c r="S106" t="str">
        <f t="shared" si="24"/>
        <v>WT</v>
      </c>
    </row>
    <row r="107" spans="1:19" x14ac:dyDescent="0.2">
      <c r="A107" t="s">
        <v>543</v>
      </c>
      <c r="B107" s="29">
        <f t="shared" si="13"/>
        <v>45904.354271914628</v>
      </c>
      <c r="C107" s="29">
        <f t="shared" si="14"/>
        <v>45904.687605247964</v>
      </c>
      <c r="D107">
        <v>-31.979885491000001</v>
      </c>
      <c r="E107">
        <v>115.81718189999999</v>
      </c>
      <c r="F107">
        <v>1.21</v>
      </c>
      <c r="G107">
        <v>0</v>
      </c>
      <c r="H107" s="30">
        <f t="shared" si="15"/>
        <v>5.2329478785395622</v>
      </c>
      <c r="I107" s="31">
        <f t="shared" si="16"/>
        <v>197.14211289930756</v>
      </c>
      <c r="J107" t="b">
        <f t="shared" si="17"/>
        <v>1</v>
      </c>
      <c r="K107" t="b">
        <f t="shared" si="18"/>
        <v>0</v>
      </c>
      <c r="L107" t="b">
        <f t="shared" si="19"/>
        <v>0</v>
      </c>
      <c r="M107" t="b">
        <f t="shared" si="20"/>
        <v>1</v>
      </c>
      <c r="N107" t="b">
        <f t="shared" si="21"/>
        <v>0</v>
      </c>
      <c r="O107">
        <f t="shared" si="25"/>
        <v>5</v>
      </c>
      <c r="P107" s="31">
        <f t="shared" si="22"/>
        <v>774.62238951120526</v>
      </c>
      <c r="Q107" t="str">
        <f t="shared" si="23"/>
        <v>WT</v>
      </c>
      <c r="R107" s="32"/>
      <c r="S107" t="str">
        <f t="shared" si="24"/>
        <v>WT</v>
      </c>
    </row>
    <row r="108" spans="1:19" x14ac:dyDescent="0.2">
      <c r="A108" t="s">
        <v>544</v>
      </c>
      <c r="B108" s="29">
        <f t="shared" si="13"/>
        <v>45904.354332481154</v>
      </c>
      <c r="C108" s="29">
        <f t="shared" si="14"/>
        <v>45904.68766581449</v>
      </c>
      <c r="D108">
        <v>-31.979936309999999</v>
      </c>
      <c r="E108">
        <v>115.81718784500001</v>
      </c>
      <c r="F108">
        <v>1.085</v>
      </c>
      <c r="G108">
        <v>0</v>
      </c>
      <c r="H108" s="30">
        <f t="shared" si="15"/>
        <v>5.189245892688632</v>
      </c>
      <c r="I108" s="31">
        <f t="shared" si="16"/>
        <v>192.89931838512686</v>
      </c>
      <c r="J108" t="b">
        <f t="shared" si="17"/>
        <v>1</v>
      </c>
      <c r="K108" t="b">
        <f t="shared" si="18"/>
        <v>0</v>
      </c>
      <c r="L108" t="b">
        <f t="shared" si="19"/>
        <v>0</v>
      </c>
      <c r="M108" t="b">
        <f t="shared" si="20"/>
        <v>1</v>
      </c>
      <c r="N108" t="b">
        <f t="shared" si="21"/>
        <v>0</v>
      </c>
      <c r="O108">
        <f t="shared" si="25"/>
        <v>5</v>
      </c>
      <c r="P108" s="31">
        <f t="shared" si="22"/>
        <v>774.62238951120526</v>
      </c>
      <c r="Q108" t="str">
        <f t="shared" si="23"/>
        <v>WT</v>
      </c>
      <c r="R108" s="32"/>
      <c r="S108" t="str">
        <f t="shared" si="24"/>
        <v>WT</v>
      </c>
    </row>
    <row r="109" spans="1:19" x14ac:dyDescent="0.2">
      <c r="A109" t="s">
        <v>545</v>
      </c>
      <c r="B109" s="29">
        <f t="shared" si="13"/>
        <v>45904.354392541871</v>
      </c>
      <c r="C109" s="29">
        <f t="shared" si="14"/>
        <v>45904.687725875207</v>
      </c>
      <c r="D109">
        <v>-31.980004842</v>
      </c>
      <c r="E109">
        <v>115.817187409</v>
      </c>
      <c r="F109">
        <v>1.4690000000000001</v>
      </c>
      <c r="G109">
        <v>0</v>
      </c>
      <c r="H109" s="30">
        <f t="shared" si="15"/>
        <v>5.1701942458748817</v>
      </c>
      <c r="I109" s="31">
        <f t="shared" si="16"/>
        <v>186.80704773853802</v>
      </c>
      <c r="J109" t="b">
        <f t="shared" si="17"/>
        <v>1</v>
      </c>
      <c r="K109" t="b">
        <f t="shared" si="18"/>
        <v>0</v>
      </c>
      <c r="L109" t="b">
        <f t="shared" si="19"/>
        <v>0</v>
      </c>
      <c r="M109" t="b">
        <f t="shared" si="20"/>
        <v>1</v>
      </c>
      <c r="N109" t="b">
        <f t="shared" si="21"/>
        <v>0</v>
      </c>
      <c r="O109">
        <f t="shared" si="25"/>
        <v>5</v>
      </c>
      <c r="P109" s="31">
        <f t="shared" si="22"/>
        <v>774.62238951120526</v>
      </c>
      <c r="Q109" t="str">
        <f t="shared" si="23"/>
        <v>WT</v>
      </c>
      <c r="R109" s="32"/>
      <c r="S109" t="str">
        <f t="shared" si="24"/>
        <v>WT</v>
      </c>
    </row>
    <row r="110" spans="1:19" x14ac:dyDescent="0.2">
      <c r="A110" t="s">
        <v>546</v>
      </c>
      <c r="B110" s="29">
        <f t="shared" si="13"/>
        <v>45904.354452382082</v>
      </c>
      <c r="C110" s="29">
        <f t="shared" si="14"/>
        <v>45904.687785715418</v>
      </c>
      <c r="D110">
        <v>-31.98006513</v>
      </c>
      <c r="E110">
        <v>115.817181808</v>
      </c>
      <c r="F110">
        <v>1.3009999999999999</v>
      </c>
      <c r="G110">
        <v>0</v>
      </c>
      <c r="H110" s="30">
        <f t="shared" si="15"/>
        <v>5.028216540813446</v>
      </c>
      <c r="I110" s="31">
        <f t="shared" si="16"/>
        <v>181.23235818612</v>
      </c>
      <c r="J110" t="b">
        <f t="shared" si="17"/>
        <v>1</v>
      </c>
      <c r="K110" t="b">
        <f t="shared" si="18"/>
        <v>0</v>
      </c>
      <c r="L110" t="b">
        <f t="shared" si="19"/>
        <v>0</v>
      </c>
      <c r="M110" t="b">
        <f t="shared" si="20"/>
        <v>1</v>
      </c>
      <c r="N110" t="b">
        <f t="shared" si="21"/>
        <v>0</v>
      </c>
      <c r="O110">
        <f t="shared" si="25"/>
        <v>5</v>
      </c>
      <c r="P110" s="31">
        <f t="shared" si="22"/>
        <v>774.62238951120526</v>
      </c>
      <c r="Q110" t="str">
        <f t="shared" si="23"/>
        <v>WT</v>
      </c>
      <c r="R110" s="32"/>
      <c r="S110" t="str">
        <f t="shared" si="24"/>
        <v>WT</v>
      </c>
    </row>
    <row r="111" spans="1:19" x14ac:dyDescent="0.2">
      <c r="A111" t="s">
        <v>547</v>
      </c>
      <c r="B111" s="29">
        <f t="shared" si="13"/>
        <v>45904.354510579033</v>
      </c>
      <c r="C111" s="29">
        <f t="shared" si="14"/>
        <v>45904.687843912368</v>
      </c>
      <c r="D111">
        <v>-31.980127958000001</v>
      </c>
      <c r="E111">
        <v>115.817183133</v>
      </c>
      <c r="F111">
        <v>1.39</v>
      </c>
      <c r="G111">
        <v>0</v>
      </c>
      <c r="H111" s="30">
        <f t="shared" si="15"/>
        <v>5.1821749191731215</v>
      </c>
      <c r="I111" s="31">
        <f t="shared" si="16"/>
        <v>175.94710292410147</v>
      </c>
      <c r="J111" t="b">
        <f t="shared" si="17"/>
        <v>1</v>
      </c>
      <c r="K111" t="b">
        <f t="shared" si="18"/>
        <v>0</v>
      </c>
      <c r="L111" t="b">
        <f t="shared" si="19"/>
        <v>0</v>
      </c>
      <c r="M111" t="b">
        <f t="shared" si="20"/>
        <v>1</v>
      </c>
      <c r="N111" t="b">
        <f t="shared" si="21"/>
        <v>0</v>
      </c>
      <c r="O111">
        <f t="shared" si="25"/>
        <v>5</v>
      </c>
      <c r="P111" s="31">
        <f t="shared" si="22"/>
        <v>774.62238951120526</v>
      </c>
      <c r="Q111" t="str">
        <f t="shared" si="23"/>
        <v>WT</v>
      </c>
      <c r="R111" s="32"/>
      <c r="S111" t="str">
        <f t="shared" si="24"/>
        <v>WT</v>
      </c>
    </row>
    <row r="112" spans="1:19" x14ac:dyDescent="0.2">
      <c r="A112" t="s">
        <v>548</v>
      </c>
      <c r="B112" s="29">
        <f t="shared" si="13"/>
        <v>45904.354570557909</v>
      </c>
      <c r="C112" s="29">
        <f t="shared" si="14"/>
        <v>45904.687903891245</v>
      </c>
      <c r="D112">
        <v>-31.980187257000001</v>
      </c>
      <c r="E112">
        <v>115.81718133699999</v>
      </c>
      <c r="F112">
        <v>1.2729999999999999</v>
      </c>
      <c r="G112">
        <v>0</v>
      </c>
      <c r="H112" s="30">
        <f t="shared" si="15"/>
        <v>5.1890371832996607</v>
      </c>
      <c r="I112" s="31">
        <f t="shared" si="16"/>
        <v>170.87850193563173</v>
      </c>
      <c r="J112" t="b">
        <f t="shared" si="17"/>
        <v>1</v>
      </c>
      <c r="K112" t="b">
        <f t="shared" si="18"/>
        <v>0</v>
      </c>
      <c r="L112" t="b">
        <f t="shared" si="19"/>
        <v>0</v>
      </c>
      <c r="M112" t="b">
        <f t="shared" si="20"/>
        <v>1</v>
      </c>
      <c r="N112" t="b">
        <f t="shared" si="21"/>
        <v>0</v>
      </c>
      <c r="O112">
        <f t="shared" si="25"/>
        <v>5</v>
      </c>
      <c r="P112" s="31">
        <f t="shared" si="22"/>
        <v>774.62238951120526</v>
      </c>
      <c r="Q112" t="str">
        <f t="shared" si="23"/>
        <v>WT</v>
      </c>
      <c r="R112" s="32"/>
      <c r="S112" t="str">
        <f t="shared" si="24"/>
        <v>WT</v>
      </c>
    </row>
    <row r="113" spans="1:19" x14ac:dyDescent="0.2">
      <c r="A113" t="s">
        <v>549</v>
      </c>
      <c r="B113" s="29">
        <f t="shared" si="13"/>
        <v>45904.35463061621</v>
      </c>
      <c r="C113" s="29">
        <f t="shared" si="14"/>
        <v>45904.687963949546</v>
      </c>
      <c r="D113">
        <v>-31.980250944000002</v>
      </c>
      <c r="E113">
        <v>115.817176718</v>
      </c>
      <c r="F113">
        <v>1.367</v>
      </c>
      <c r="G113">
        <v>0</v>
      </c>
      <c r="H113" s="30">
        <f t="shared" si="15"/>
        <v>5.0192828988656402</v>
      </c>
      <c r="I113" s="31">
        <f t="shared" si="16"/>
        <v>165.38001048017563</v>
      </c>
      <c r="J113" t="b">
        <f t="shared" si="17"/>
        <v>1</v>
      </c>
      <c r="K113" t="b">
        <f t="shared" si="18"/>
        <v>0</v>
      </c>
      <c r="L113" t="b">
        <f t="shared" si="19"/>
        <v>0</v>
      </c>
      <c r="M113" t="b">
        <f t="shared" si="20"/>
        <v>1</v>
      </c>
      <c r="N113" t="b">
        <f t="shared" si="21"/>
        <v>0</v>
      </c>
      <c r="O113">
        <f t="shared" si="25"/>
        <v>5</v>
      </c>
      <c r="P113" s="31">
        <f t="shared" si="22"/>
        <v>774.62238951120526</v>
      </c>
      <c r="Q113" t="str">
        <f t="shared" si="23"/>
        <v>WT</v>
      </c>
      <c r="R113" s="32"/>
      <c r="S113" t="str">
        <f t="shared" si="24"/>
        <v>WT</v>
      </c>
    </row>
    <row r="114" spans="1:19" x14ac:dyDescent="0.2">
      <c r="A114" t="s">
        <v>550</v>
      </c>
      <c r="B114" s="29">
        <f t="shared" si="13"/>
        <v>45904.354688709762</v>
      </c>
      <c r="C114" s="29">
        <f t="shared" si="14"/>
        <v>45904.688022043098</v>
      </c>
      <c r="D114">
        <v>-31.980308282999999</v>
      </c>
      <c r="E114">
        <v>115.81717083300001</v>
      </c>
      <c r="F114">
        <v>1.2749999999999999</v>
      </c>
      <c r="G114">
        <v>0</v>
      </c>
      <c r="H114" s="30">
        <f t="shared" si="15"/>
        <v>5.2213588496670127</v>
      </c>
      <c r="I114" s="31">
        <f t="shared" si="16"/>
        <v>160.42175572324618</v>
      </c>
      <c r="J114" t="b">
        <f t="shared" si="17"/>
        <v>1</v>
      </c>
      <c r="K114" t="b">
        <f t="shared" si="18"/>
        <v>0</v>
      </c>
      <c r="L114" t="b">
        <f t="shared" si="19"/>
        <v>0</v>
      </c>
      <c r="M114" t="b">
        <f t="shared" si="20"/>
        <v>1</v>
      </c>
      <c r="N114" t="b">
        <f t="shared" si="21"/>
        <v>0</v>
      </c>
      <c r="O114">
        <f t="shared" si="25"/>
        <v>5</v>
      </c>
      <c r="P114" s="31">
        <f t="shared" si="22"/>
        <v>774.62238951120526</v>
      </c>
      <c r="Q114" t="str">
        <f t="shared" si="23"/>
        <v>WT</v>
      </c>
      <c r="R114" s="32"/>
      <c r="S114" t="str">
        <f t="shared" si="24"/>
        <v>WT</v>
      </c>
    </row>
    <row r="115" spans="1:19" x14ac:dyDescent="0.2">
      <c r="A115" t="s">
        <v>551</v>
      </c>
      <c r="B115" s="29">
        <f t="shared" si="13"/>
        <v>45904.354749142156</v>
      </c>
      <c r="C115" s="29">
        <f t="shared" si="14"/>
        <v>45904.688082475492</v>
      </c>
      <c r="D115">
        <v>-31.980367015999999</v>
      </c>
      <c r="E115">
        <v>115.8171602</v>
      </c>
      <c r="F115">
        <v>1.2649999999999999</v>
      </c>
      <c r="G115">
        <v>0</v>
      </c>
      <c r="H115" s="30">
        <f t="shared" si="15"/>
        <v>5.1803028210997581</v>
      </c>
      <c r="I115" s="31">
        <f t="shared" si="16"/>
        <v>155.13763563657227</v>
      </c>
      <c r="J115" t="b">
        <f t="shared" si="17"/>
        <v>1</v>
      </c>
      <c r="K115" t="b">
        <f t="shared" si="18"/>
        <v>0</v>
      </c>
      <c r="L115" t="b">
        <f t="shared" si="19"/>
        <v>0</v>
      </c>
      <c r="M115" t="b">
        <f t="shared" si="20"/>
        <v>1</v>
      </c>
      <c r="N115" t="b">
        <f t="shared" si="21"/>
        <v>0</v>
      </c>
      <c r="O115">
        <f t="shared" si="25"/>
        <v>5</v>
      </c>
      <c r="P115" s="31">
        <f t="shared" si="22"/>
        <v>774.62238951120526</v>
      </c>
      <c r="Q115" t="str">
        <f t="shared" si="23"/>
        <v>WT</v>
      </c>
      <c r="R115" s="32"/>
      <c r="S115" t="str">
        <f t="shared" si="24"/>
        <v>WT</v>
      </c>
    </row>
    <row r="116" spans="1:19" x14ac:dyDescent="0.2">
      <c r="A116" t="s">
        <v>552</v>
      </c>
      <c r="B116" s="29">
        <f t="shared" si="13"/>
        <v>45904.354809099365</v>
      </c>
      <c r="C116" s="29">
        <f t="shared" si="14"/>
        <v>45904.6881424327</v>
      </c>
      <c r="D116">
        <v>-31.980427147</v>
      </c>
      <c r="E116">
        <v>115.817155293</v>
      </c>
      <c r="F116">
        <v>1.294</v>
      </c>
      <c r="G116">
        <v>0</v>
      </c>
      <c r="H116" s="30">
        <f t="shared" si="15"/>
        <v>5.1698258612304926</v>
      </c>
      <c r="I116" s="31">
        <f t="shared" si="16"/>
        <v>150.25568949085374</v>
      </c>
      <c r="J116" t="b">
        <f t="shared" si="17"/>
        <v>1</v>
      </c>
      <c r="K116" t="b">
        <f t="shared" si="18"/>
        <v>0</v>
      </c>
      <c r="L116" t="b">
        <f t="shared" si="19"/>
        <v>0</v>
      </c>
      <c r="M116" t="b">
        <f t="shared" si="20"/>
        <v>1</v>
      </c>
      <c r="N116" t="b">
        <f t="shared" si="21"/>
        <v>0</v>
      </c>
      <c r="O116">
        <f t="shared" si="25"/>
        <v>5</v>
      </c>
      <c r="P116" s="31">
        <f t="shared" si="22"/>
        <v>774.62238951120526</v>
      </c>
      <c r="Q116" t="str">
        <f t="shared" si="23"/>
        <v>WT</v>
      </c>
      <c r="R116" s="32"/>
      <c r="S116" t="str">
        <f t="shared" si="24"/>
        <v>WT</v>
      </c>
    </row>
    <row r="117" spans="1:19" x14ac:dyDescent="0.2">
      <c r="A117" t="s">
        <v>553</v>
      </c>
      <c r="B117" s="29">
        <f t="shared" si="13"/>
        <v>45904.354868935312</v>
      </c>
      <c r="C117" s="29">
        <f t="shared" si="14"/>
        <v>45904.688202268648</v>
      </c>
      <c r="D117">
        <v>-31.980484021999999</v>
      </c>
      <c r="E117">
        <v>115.817151549</v>
      </c>
      <c r="F117">
        <v>1.2250000000000001</v>
      </c>
      <c r="G117">
        <v>0</v>
      </c>
      <c r="H117" s="30">
        <f t="shared" si="15"/>
        <v>5.0108521711081266</v>
      </c>
      <c r="I117" s="31">
        <f t="shared" si="16"/>
        <v>145.83593583891562</v>
      </c>
      <c r="J117" t="b">
        <f t="shared" si="17"/>
        <v>1</v>
      </c>
      <c r="K117" t="b">
        <f t="shared" si="18"/>
        <v>0</v>
      </c>
      <c r="L117" t="b">
        <f t="shared" si="19"/>
        <v>0</v>
      </c>
      <c r="M117" t="b">
        <f t="shared" si="20"/>
        <v>1</v>
      </c>
      <c r="N117" t="b">
        <f t="shared" si="21"/>
        <v>0</v>
      </c>
      <c r="O117">
        <f t="shared" si="25"/>
        <v>5</v>
      </c>
      <c r="P117" s="31">
        <f t="shared" si="22"/>
        <v>774.62238951120526</v>
      </c>
      <c r="Q117" t="str">
        <f t="shared" si="23"/>
        <v>WT</v>
      </c>
      <c r="R117" s="32"/>
      <c r="S117" t="str">
        <f t="shared" si="24"/>
        <v>WT</v>
      </c>
    </row>
    <row r="118" spans="1:19" x14ac:dyDescent="0.2">
      <c r="A118" t="s">
        <v>554</v>
      </c>
      <c r="B118" s="29">
        <f t="shared" si="13"/>
        <v>45904.354926931286</v>
      </c>
      <c r="C118" s="29">
        <f t="shared" si="14"/>
        <v>45904.688260264622</v>
      </c>
      <c r="D118">
        <v>-31.980526266999998</v>
      </c>
      <c r="E118">
        <v>115.81715605700001</v>
      </c>
      <c r="F118">
        <v>0.94099999999999995</v>
      </c>
      <c r="G118">
        <v>0</v>
      </c>
      <c r="H118" s="30">
        <f t="shared" si="15"/>
        <v>5.0065648276358843</v>
      </c>
      <c r="I118" s="31">
        <f t="shared" si="16"/>
        <v>143.18298827482721</v>
      </c>
      <c r="J118" t="b">
        <f t="shared" si="17"/>
        <v>1</v>
      </c>
      <c r="K118" t="b">
        <f t="shared" si="18"/>
        <v>0</v>
      </c>
      <c r="L118" t="b">
        <f t="shared" si="19"/>
        <v>0</v>
      </c>
      <c r="M118" t="b">
        <f t="shared" si="20"/>
        <v>1</v>
      </c>
      <c r="N118" t="b">
        <f t="shared" si="21"/>
        <v>0</v>
      </c>
      <c r="O118">
        <f t="shared" si="25"/>
        <v>5</v>
      </c>
      <c r="P118" s="31">
        <f t="shared" si="22"/>
        <v>774.62238951120526</v>
      </c>
      <c r="Q118" t="str">
        <f t="shared" si="23"/>
        <v>WT</v>
      </c>
      <c r="R118" s="32"/>
      <c r="S118" t="str">
        <f t="shared" si="24"/>
        <v>WT</v>
      </c>
    </row>
    <row r="119" spans="1:19" x14ac:dyDescent="0.2">
      <c r="A119" t="s">
        <v>555</v>
      </c>
      <c r="B119" s="29">
        <f t="shared" si="13"/>
        <v>45904.354984877638</v>
      </c>
      <c r="C119" s="29">
        <f t="shared" si="14"/>
        <v>45904.688318210974</v>
      </c>
      <c r="D119">
        <v>-31.980563785000001</v>
      </c>
      <c r="E119">
        <v>115.81718126</v>
      </c>
      <c r="F119">
        <v>0.95899999999999996</v>
      </c>
      <c r="G119">
        <v>0</v>
      </c>
      <c r="H119" s="30">
        <f t="shared" si="15"/>
        <v>5.178009532392025</v>
      </c>
      <c r="I119" s="31">
        <f t="shared" si="16"/>
        <v>142.51518233786661</v>
      </c>
      <c r="J119" t="b">
        <f t="shared" si="17"/>
        <v>1</v>
      </c>
      <c r="K119" t="b">
        <f t="shared" si="18"/>
        <v>0</v>
      </c>
      <c r="L119" t="b">
        <f t="shared" si="19"/>
        <v>0</v>
      </c>
      <c r="M119" t="b">
        <f t="shared" si="20"/>
        <v>1</v>
      </c>
      <c r="N119" t="b">
        <f t="shared" si="21"/>
        <v>0</v>
      </c>
      <c r="O119">
        <f t="shared" si="25"/>
        <v>5</v>
      </c>
      <c r="P119" s="31">
        <f t="shared" si="22"/>
        <v>774.62238951120526</v>
      </c>
      <c r="Q119" t="str">
        <f t="shared" si="23"/>
        <v>WT</v>
      </c>
      <c r="R119" s="32"/>
      <c r="S119" t="str">
        <f t="shared" si="24"/>
        <v>WT</v>
      </c>
    </row>
    <row r="120" spans="1:19" x14ac:dyDescent="0.2">
      <c r="A120" t="s">
        <v>556</v>
      </c>
      <c r="B120" s="29">
        <f t="shared" si="13"/>
        <v>45904.355044808304</v>
      </c>
      <c r="C120" s="29">
        <f t="shared" si="14"/>
        <v>45904.68837814164</v>
      </c>
      <c r="D120">
        <v>-31.980597734</v>
      </c>
      <c r="E120">
        <v>115.81722652800001</v>
      </c>
      <c r="F120">
        <v>1.101</v>
      </c>
      <c r="G120">
        <v>0</v>
      </c>
      <c r="H120" s="30">
        <f t="shared" si="15"/>
        <v>5.0064340699464083</v>
      </c>
      <c r="I120" s="31">
        <f t="shared" si="16"/>
        <v>143.78927679833268</v>
      </c>
      <c r="J120" t="b">
        <f t="shared" si="17"/>
        <v>1</v>
      </c>
      <c r="K120" t="b">
        <f t="shared" si="18"/>
        <v>0</v>
      </c>
      <c r="L120" t="b">
        <f t="shared" si="19"/>
        <v>0</v>
      </c>
      <c r="M120" t="b">
        <f t="shared" si="20"/>
        <v>1</v>
      </c>
      <c r="N120" t="b">
        <f t="shared" si="21"/>
        <v>0</v>
      </c>
      <c r="O120">
        <f t="shared" si="25"/>
        <v>5</v>
      </c>
      <c r="P120" s="31">
        <f t="shared" si="22"/>
        <v>774.62238951120526</v>
      </c>
      <c r="Q120" t="str">
        <f t="shared" si="23"/>
        <v>WT</v>
      </c>
      <c r="R120" s="32"/>
      <c r="S120" t="str">
        <f t="shared" si="24"/>
        <v>WT</v>
      </c>
    </row>
    <row r="121" spans="1:19" x14ac:dyDescent="0.2">
      <c r="A121" t="s">
        <v>557</v>
      </c>
      <c r="B121" s="29">
        <f t="shared" si="13"/>
        <v>45904.355102753143</v>
      </c>
      <c r="C121" s="29">
        <f t="shared" si="14"/>
        <v>45904.688436086479</v>
      </c>
      <c r="D121">
        <v>-31.980630532999999</v>
      </c>
      <c r="E121">
        <v>115.817269001</v>
      </c>
      <c r="F121">
        <v>1.0820000000000001</v>
      </c>
      <c r="G121">
        <v>0</v>
      </c>
      <c r="H121" s="30">
        <f t="shared" si="15"/>
        <v>5.2044703625142574</v>
      </c>
      <c r="I121" s="31">
        <f t="shared" si="16"/>
        <v>145.12168185208867</v>
      </c>
      <c r="J121" t="b">
        <f t="shared" si="17"/>
        <v>1</v>
      </c>
      <c r="K121" t="b">
        <f t="shared" si="18"/>
        <v>0</v>
      </c>
      <c r="L121" t="b">
        <f t="shared" si="19"/>
        <v>0</v>
      </c>
      <c r="M121" t="b">
        <f t="shared" si="20"/>
        <v>1</v>
      </c>
      <c r="N121" t="b">
        <f t="shared" si="21"/>
        <v>0</v>
      </c>
      <c r="O121">
        <f t="shared" si="25"/>
        <v>5</v>
      </c>
      <c r="P121" s="31">
        <f t="shared" si="22"/>
        <v>774.62238951120526</v>
      </c>
      <c r="Q121" t="str">
        <f t="shared" si="23"/>
        <v>WT</v>
      </c>
      <c r="R121" s="32"/>
      <c r="S121" t="str">
        <f t="shared" si="24"/>
        <v>WT</v>
      </c>
    </row>
    <row r="122" spans="1:19" x14ac:dyDescent="0.2">
      <c r="A122" t="s">
        <v>558</v>
      </c>
      <c r="B122" s="29">
        <f t="shared" si="13"/>
        <v>45904.355162990068</v>
      </c>
      <c r="C122" s="29">
        <f t="shared" si="14"/>
        <v>45904.688496323404</v>
      </c>
      <c r="D122">
        <v>-31.980662749</v>
      </c>
      <c r="E122">
        <v>115.817320718</v>
      </c>
      <c r="F122">
        <v>1.163</v>
      </c>
      <c r="G122">
        <v>0</v>
      </c>
      <c r="H122" s="30">
        <f t="shared" si="15"/>
        <v>5.0068496027961373</v>
      </c>
      <c r="I122" s="31">
        <f t="shared" si="16"/>
        <v>147.42778335415625</v>
      </c>
      <c r="J122" t="b">
        <f t="shared" si="17"/>
        <v>1</v>
      </c>
      <c r="K122" t="b">
        <f t="shared" si="18"/>
        <v>0</v>
      </c>
      <c r="L122" t="b">
        <f t="shared" si="19"/>
        <v>0</v>
      </c>
      <c r="M122" t="b">
        <f t="shared" si="20"/>
        <v>1</v>
      </c>
      <c r="N122" t="b">
        <f t="shared" si="21"/>
        <v>0</v>
      </c>
      <c r="O122">
        <f t="shared" si="25"/>
        <v>5</v>
      </c>
      <c r="P122" s="31">
        <f t="shared" si="22"/>
        <v>774.62238951120526</v>
      </c>
      <c r="Q122" t="str">
        <f t="shared" si="23"/>
        <v>WT</v>
      </c>
      <c r="R122" s="32"/>
      <c r="S122" t="str">
        <f t="shared" si="24"/>
        <v>WT</v>
      </c>
    </row>
    <row r="123" spans="1:19" x14ac:dyDescent="0.2">
      <c r="A123" t="s">
        <v>559</v>
      </c>
      <c r="B123" s="29">
        <f t="shared" si="13"/>
        <v>45904.355220939717</v>
      </c>
      <c r="C123" s="29">
        <f t="shared" si="14"/>
        <v>45904.688554273052</v>
      </c>
      <c r="D123">
        <v>-31.980725238000002</v>
      </c>
      <c r="E123">
        <v>115.81733544399999</v>
      </c>
      <c r="F123">
        <v>1.415</v>
      </c>
      <c r="G123">
        <v>0</v>
      </c>
      <c r="H123" s="30">
        <f t="shared" si="15"/>
        <v>5.2137717604637146</v>
      </c>
      <c r="I123" s="31">
        <f t="shared" si="16"/>
        <v>145.2857907171566</v>
      </c>
      <c r="J123" t="b">
        <f t="shared" si="17"/>
        <v>1</v>
      </c>
      <c r="K123" t="b">
        <f t="shared" si="18"/>
        <v>0</v>
      </c>
      <c r="L123" t="b">
        <f t="shared" si="19"/>
        <v>0</v>
      </c>
      <c r="M123" t="b">
        <f t="shared" si="20"/>
        <v>1</v>
      </c>
      <c r="N123" t="b">
        <f t="shared" si="21"/>
        <v>0</v>
      </c>
      <c r="O123">
        <f t="shared" si="25"/>
        <v>5</v>
      </c>
      <c r="P123" s="31">
        <f t="shared" si="22"/>
        <v>774.62238951120526</v>
      </c>
      <c r="Q123" t="str">
        <f t="shared" si="23"/>
        <v>WT</v>
      </c>
      <c r="R123" s="32"/>
      <c r="S123" t="str">
        <f t="shared" si="24"/>
        <v>WT</v>
      </c>
    </row>
    <row r="124" spans="1:19" x14ac:dyDescent="0.2">
      <c r="A124" t="s">
        <v>560</v>
      </c>
      <c r="B124" s="29">
        <f t="shared" si="13"/>
        <v>45904.355281284297</v>
      </c>
      <c r="C124" s="29">
        <f t="shared" si="14"/>
        <v>45904.688614617633</v>
      </c>
      <c r="D124">
        <v>-31.980762632000001</v>
      </c>
      <c r="E124">
        <v>115.817381009</v>
      </c>
      <c r="F124">
        <v>1.147</v>
      </c>
      <c r="G124">
        <v>0</v>
      </c>
      <c r="H124" s="30">
        <f t="shared" si="15"/>
        <v>5.0166155677288771</v>
      </c>
      <c r="I124" s="31">
        <f t="shared" si="16"/>
        <v>147.28011437557501</v>
      </c>
      <c r="J124" t="b">
        <f t="shared" si="17"/>
        <v>1</v>
      </c>
      <c r="K124" t="b">
        <f t="shared" si="18"/>
        <v>0</v>
      </c>
      <c r="L124" t="b">
        <f t="shared" si="19"/>
        <v>0</v>
      </c>
      <c r="M124" t="b">
        <f t="shared" si="20"/>
        <v>1</v>
      </c>
      <c r="N124" t="b">
        <f t="shared" si="21"/>
        <v>0</v>
      </c>
      <c r="O124">
        <f t="shared" si="25"/>
        <v>5</v>
      </c>
      <c r="P124" s="31">
        <f t="shared" si="22"/>
        <v>774.62238951120526</v>
      </c>
      <c r="Q124" t="str">
        <f t="shared" si="23"/>
        <v>WT</v>
      </c>
      <c r="R124" s="32"/>
      <c r="S124" t="str">
        <f t="shared" si="24"/>
        <v>WT</v>
      </c>
    </row>
    <row r="125" spans="1:19" x14ac:dyDescent="0.2">
      <c r="A125" t="s">
        <v>561</v>
      </c>
      <c r="B125" s="29">
        <f t="shared" si="13"/>
        <v>45904.355339346977</v>
      </c>
      <c r="C125" s="29">
        <f t="shared" si="14"/>
        <v>45904.688672680313</v>
      </c>
      <c r="D125">
        <v>-31.980800297999998</v>
      </c>
      <c r="E125">
        <v>115.81743773700001</v>
      </c>
      <c r="F125">
        <v>1.3540000000000001</v>
      </c>
      <c r="G125">
        <v>0</v>
      </c>
      <c r="H125" s="30">
        <f t="shared" si="15"/>
        <v>5.1786633208394051</v>
      </c>
      <c r="I125" s="31">
        <f t="shared" si="16"/>
        <v>150.44352522076412</v>
      </c>
      <c r="J125" t="b">
        <f t="shared" si="17"/>
        <v>1</v>
      </c>
      <c r="K125" t="b">
        <f t="shared" si="18"/>
        <v>0</v>
      </c>
      <c r="L125" t="b">
        <f t="shared" si="19"/>
        <v>0</v>
      </c>
      <c r="M125" t="b">
        <f t="shared" si="20"/>
        <v>1</v>
      </c>
      <c r="N125" t="b">
        <f t="shared" si="21"/>
        <v>0</v>
      </c>
      <c r="O125">
        <f t="shared" si="25"/>
        <v>5</v>
      </c>
      <c r="P125" s="31">
        <f t="shared" si="22"/>
        <v>774.62238951120526</v>
      </c>
      <c r="Q125" t="str">
        <f t="shared" si="23"/>
        <v>WT</v>
      </c>
      <c r="R125" s="32"/>
      <c r="S125" t="str">
        <f t="shared" si="24"/>
        <v>WT</v>
      </c>
    </row>
    <row r="126" spans="1:19" x14ac:dyDescent="0.2">
      <c r="A126" t="s">
        <v>562</v>
      </c>
      <c r="B126" s="29">
        <f t="shared" si="13"/>
        <v>45904.35539928521</v>
      </c>
      <c r="C126" s="29">
        <f t="shared" si="14"/>
        <v>45904.688732618546</v>
      </c>
      <c r="D126">
        <v>-31.980838991999999</v>
      </c>
      <c r="E126">
        <v>115.81749985499999</v>
      </c>
      <c r="F126">
        <v>1.4039999999999999</v>
      </c>
      <c r="G126">
        <v>0</v>
      </c>
      <c r="H126" s="30">
        <f t="shared" si="15"/>
        <v>5.0094999605789781</v>
      </c>
      <c r="I126" s="31">
        <f t="shared" si="16"/>
        <v>154.27692559903875</v>
      </c>
      <c r="J126" t="b">
        <f t="shared" si="17"/>
        <v>1</v>
      </c>
      <c r="K126" t="b">
        <f t="shared" si="18"/>
        <v>0</v>
      </c>
      <c r="L126" t="b">
        <f t="shared" si="19"/>
        <v>0</v>
      </c>
      <c r="M126" t="b">
        <f t="shared" si="20"/>
        <v>1</v>
      </c>
      <c r="N126" t="b">
        <f t="shared" si="21"/>
        <v>0</v>
      </c>
      <c r="O126">
        <f t="shared" si="25"/>
        <v>5</v>
      </c>
      <c r="P126" s="31">
        <f t="shared" si="22"/>
        <v>774.62238951120526</v>
      </c>
      <c r="Q126" t="str">
        <f t="shared" si="23"/>
        <v>WT</v>
      </c>
      <c r="R126" s="32"/>
      <c r="S126" t="str">
        <f t="shared" si="24"/>
        <v>WT</v>
      </c>
    </row>
    <row r="127" spans="1:19" x14ac:dyDescent="0.2">
      <c r="A127" t="s">
        <v>563</v>
      </c>
      <c r="B127" s="29">
        <f t="shared" si="13"/>
        <v>45904.355457265534</v>
      </c>
      <c r="C127" s="29">
        <f t="shared" si="14"/>
        <v>45904.68879059887</v>
      </c>
      <c r="D127">
        <v>-31.980874692</v>
      </c>
      <c r="E127">
        <v>115.817558698</v>
      </c>
      <c r="F127">
        <v>1.3620000000000001</v>
      </c>
      <c r="G127">
        <v>0</v>
      </c>
      <c r="H127" s="30">
        <f t="shared" si="15"/>
        <v>5.1789996447041631</v>
      </c>
      <c r="I127" s="31">
        <f t="shared" si="16"/>
        <v>158.16476952700825</v>
      </c>
      <c r="J127" t="b">
        <f t="shared" si="17"/>
        <v>1</v>
      </c>
      <c r="K127" t="b">
        <f t="shared" si="18"/>
        <v>0</v>
      </c>
      <c r="L127" t="b">
        <f t="shared" si="19"/>
        <v>0</v>
      </c>
      <c r="M127" t="b">
        <f t="shared" si="20"/>
        <v>1</v>
      </c>
      <c r="N127" t="b">
        <f t="shared" si="21"/>
        <v>0</v>
      </c>
      <c r="O127">
        <f t="shared" si="25"/>
        <v>5</v>
      </c>
      <c r="P127" s="31">
        <f t="shared" si="22"/>
        <v>774.62238951120526</v>
      </c>
      <c r="Q127" t="str">
        <f t="shared" si="23"/>
        <v>WT</v>
      </c>
      <c r="R127" s="32"/>
      <c r="S127" t="str">
        <f t="shared" si="24"/>
        <v>WT</v>
      </c>
    </row>
    <row r="128" spans="1:19" x14ac:dyDescent="0.2">
      <c r="A128" t="s">
        <v>564</v>
      </c>
      <c r="B128" s="29">
        <f t="shared" si="13"/>
        <v>45904.355517207659</v>
      </c>
      <c r="C128" s="29">
        <f t="shared" si="14"/>
        <v>45904.688850540995</v>
      </c>
      <c r="D128">
        <v>-31.980905782000001</v>
      </c>
      <c r="E128">
        <v>115.817622032</v>
      </c>
      <c r="F128">
        <v>1.333</v>
      </c>
      <c r="G128">
        <v>0</v>
      </c>
      <c r="H128" s="30">
        <f t="shared" si="15"/>
        <v>5.1905427826568484</v>
      </c>
      <c r="I128" s="31">
        <f t="shared" si="16"/>
        <v>162.80006044702151</v>
      </c>
      <c r="J128" t="b">
        <f t="shared" si="17"/>
        <v>1</v>
      </c>
      <c r="K128" t="b">
        <f t="shared" si="18"/>
        <v>0</v>
      </c>
      <c r="L128" t="b">
        <f t="shared" si="19"/>
        <v>0</v>
      </c>
      <c r="M128" t="b">
        <f t="shared" si="20"/>
        <v>1</v>
      </c>
      <c r="N128" t="b">
        <f t="shared" si="21"/>
        <v>0</v>
      </c>
      <c r="O128">
        <f t="shared" si="25"/>
        <v>5</v>
      </c>
      <c r="P128" s="31">
        <f t="shared" si="22"/>
        <v>774.62238951120526</v>
      </c>
      <c r="Q128" t="str">
        <f t="shared" si="23"/>
        <v>WT</v>
      </c>
      <c r="R128" s="32"/>
      <c r="S128" t="str">
        <f t="shared" si="24"/>
        <v>WT</v>
      </c>
    </row>
    <row r="129" spans="1:19" x14ac:dyDescent="0.2">
      <c r="A129" t="s">
        <v>565</v>
      </c>
      <c r="B129" s="29">
        <f t="shared" si="13"/>
        <v>45904.355577283386</v>
      </c>
      <c r="C129" s="29">
        <f t="shared" si="14"/>
        <v>45904.688910616722</v>
      </c>
      <c r="D129">
        <v>-31.98093793</v>
      </c>
      <c r="E129">
        <v>115.817685492</v>
      </c>
      <c r="F129">
        <v>1.343</v>
      </c>
      <c r="G129">
        <v>0</v>
      </c>
      <c r="H129" s="30">
        <f t="shared" si="15"/>
        <v>5.0194582901895046</v>
      </c>
      <c r="I129" s="31">
        <f t="shared" si="16"/>
        <v>167.57227187276243</v>
      </c>
      <c r="J129" t="b">
        <f t="shared" si="17"/>
        <v>1</v>
      </c>
      <c r="K129" t="b">
        <f t="shared" si="18"/>
        <v>0</v>
      </c>
      <c r="L129" t="b">
        <f t="shared" si="19"/>
        <v>0</v>
      </c>
      <c r="M129" t="b">
        <f t="shared" si="20"/>
        <v>1</v>
      </c>
      <c r="N129" t="b">
        <f t="shared" si="21"/>
        <v>0</v>
      </c>
      <c r="O129">
        <f t="shared" si="25"/>
        <v>5</v>
      </c>
      <c r="P129" s="31">
        <f t="shared" si="22"/>
        <v>774.62238951120526</v>
      </c>
      <c r="Q129" t="str">
        <f t="shared" si="23"/>
        <v>WT</v>
      </c>
      <c r="R129" s="32"/>
      <c r="S129" t="str">
        <f t="shared" si="24"/>
        <v>WT</v>
      </c>
    </row>
    <row r="130" spans="1:19" x14ac:dyDescent="0.2">
      <c r="A130" t="s">
        <v>566</v>
      </c>
      <c r="B130" s="29">
        <f t="shared" ref="B130:B193" si="26">DATE(VALUE(LEFT(A130,4)),VALUE(MID(A130,6,2)),VALUE(MID(A130,9,2)))+TIME(VALUE(MID(A130,12,2)),VALUE(MID(A130,15,2)),VALUE(MID(A130,18,2)))+IFERROR(VALUE(MID(A130,21,6)),0)/86400000000</f>
        <v>45904.355635378968</v>
      </c>
      <c r="C130" s="29">
        <f t="shared" ref="C130:C193" si="27">B130+UTC_OFFSET_H/24</f>
        <v>45904.688968712304</v>
      </c>
      <c r="D130">
        <v>-31.980959858999999</v>
      </c>
      <c r="E130">
        <v>115.81774843700001</v>
      </c>
      <c r="F130">
        <v>1.2789999999999999</v>
      </c>
      <c r="G130">
        <v>0</v>
      </c>
      <c r="H130" s="30">
        <f t="shared" ref="H130:H193" si="28">(B131-B130)*86400</f>
        <v>5.1906081615015864</v>
      </c>
      <c r="I130" s="31">
        <f t="shared" ref="I130:I193" si="29">2*6371000*ASIN(SQRT(SIN((RADIANS(D130)-RADIANS(DEPOT_LAT))/2)^2+COS(RADIANS(DEPOT_LAT))*COS(RADIANS(D130))*SIN((RADIANS(E130)-RADIANS(DEPOT_LON))/2)^2))</f>
        <v>172.71429735264505</v>
      </c>
      <c r="J130" t="b">
        <f t="shared" ref="J130:J193" si="30">AND(WEEKDAY(C130,2)&lt;=SERVICE_LAST_WEEKDAY,MOD(C130,1)&gt;=SERVICE_START,MOD(C130,1)&lt;SERVICE_END)</f>
        <v>1</v>
      </c>
      <c r="K130" t="b">
        <f t="shared" ref="K130:K193" si="31">F130&lt;SPEED_STOP_MPS</f>
        <v>0</v>
      </c>
      <c r="L130" t="b">
        <f t="shared" ref="L130:L193" si="32">I130&lt;=DEPOT_RADIUS_M</f>
        <v>0</v>
      </c>
      <c r="M130" t="b">
        <f t="shared" ref="M130:M193" si="33">G130&gt;=0</f>
        <v>1</v>
      </c>
      <c r="N130" t="b">
        <f t="shared" ref="N130:N193" si="34">H130&gt;MAX_GAP_S</f>
        <v>0</v>
      </c>
      <c r="O130">
        <f t="shared" si="25"/>
        <v>5</v>
      </c>
      <c r="P130" s="31">
        <f t="shared" ref="P130:P193" si="35">SUMIFS($H$2:$H$440,$O$2:$O$440,O130)</f>
        <v>774.62238951120526</v>
      </c>
      <c r="Q130" t="str">
        <f t="shared" ref="Q130:Q193" si="36">IF(NOT(J130),"UT",IF(N130,IF(L130,"SB","OD"),IF(AND(K130,L130,P130&gt;=STANDBY_DWELL_S),"SB",IF(AND(K130,NOT(M130)),"OD",IF(AND(K130,NOT(L130),P130&gt;=DELAY_DWELL_S),"OD","WT")))))</f>
        <v>WT</v>
      </c>
      <c r="R130" s="32"/>
      <c r="S130" t="str">
        <f t="shared" ref="S130:S193" si="37">IF(R130&lt;&gt;"",R130,Q130)</f>
        <v>WT</v>
      </c>
    </row>
    <row r="131" spans="1:19" x14ac:dyDescent="0.2">
      <c r="A131" t="s">
        <v>567</v>
      </c>
      <c r="B131" s="29">
        <f t="shared" si="26"/>
        <v>45904.355695455451</v>
      </c>
      <c r="C131" s="29">
        <f t="shared" si="27"/>
        <v>45904.689028788787</v>
      </c>
      <c r="D131">
        <v>-31.980979894000001</v>
      </c>
      <c r="E131">
        <v>115.81781015599999</v>
      </c>
      <c r="F131">
        <v>1.2010000000000001</v>
      </c>
      <c r="G131">
        <v>0</v>
      </c>
      <c r="H131" s="30">
        <f t="shared" si="28"/>
        <v>5.2222647238522768</v>
      </c>
      <c r="I131" s="31">
        <f t="shared" si="29"/>
        <v>177.87235673767978</v>
      </c>
      <c r="J131" t="b">
        <f t="shared" si="30"/>
        <v>1</v>
      </c>
      <c r="K131" t="b">
        <f t="shared" si="31"/>
        <v>0</v>
      </c>
      <c r="L131" t="b">
        <f t="shared" si="32"/>
        <v>0</v>
      </c>
      <c r="M131" t="b">
        <f t="shared" si="33"/>
        <v>1</v>
      </c>
      <c r="N131" t="b">
        <f t="shared" si="34"/>
        <v>0</v>
      </c>
      <c r="O131">
        <f t="shared" ref="O131:O194" si="38">IF(AND(K131=K130,L131=L130),O130,O130+1)</f>
        <v>5</v>
      </c>
      <c r="P131" s="31">
        <f t="shared" si="35"/>
        <v>774.62238951120526</v>
      </c>
      <c r="Q131" t="str">
        <f t="shared" si="36"/>
        <v>WT</v>
      </c>
      <c r="R131" s="32"/>
      <c r="S131" t="str">
        <f t="shared" si="37"/>
        <v>WT</v>
      </c>
    </row>
    <row r="132" spans="1:19" x14ac:dyDescent="0.2">
      <c r="A132" t="s">
        <v>568</v>
      </c>
      <c r="B132" s="29">
        <f t="shared" si="26"/>
        <v>45904.35575589833</v>
      </c>
      <c r="C132" s="29">
        <f t="shared" si="27"/>
        <v>45904.689089231666</v>
      </c>
      <c r="D132">
        <v>-31.980994696</v>
      </c>
      <c r="E132">
        <v>115.81787870300001</v>
      </c>
      <c r="F132">
        <v>1.278</v>
      </c>
      <c r="G132">
        <v>0</v>
      </c>
      <c r="H132" s="30">
        <f t="shared" si="28"/>
        <v>5.0088543444871902</v>
      </c>
      <c r="I132" s="31">
        <f t="shared" si="29"/>
        <v>183.84540342476049</v>
      </c>
      <c r="J132" t="b">
        <f t="shared" si="30"/>
        <v>1</v>
      </c>
      <c r="K132" t="b">
        <f t="shared" si="31"/>
        <v>0</v>
      </c>
      <c r="L132" t="b">
        <f t="shared" si="32"/>
        <v>0</v>
      </c>
      <c r="M132" t="b">
        <f t="shared" si="33"/>
        <v>1</v>
      </c>
      <c r="N132" t="b">
        <f t="shared" si="34"/>
        <v>0</v>
      </c>
      <c r="O132">
        <f t="shared" si="38"/>
        <v>5</v>
      </c>
      <c r="P132" s="31">
        <f t="shared" si="35"/>
        <v>774.62238951120526</v>
      </c>
      <c r="Q132" t="str">
        <f t="shared" si="36"/>
        <v>WT</v>
      </c>
      <c r="R132" s="32"/>
      <c r="S132" t="str">
        <f t="shared" si="37"/>
        <v>WT</v>
      </c>
    </row>
    <row r="133" spans="1:19" x14ac:dyDescent="0.2">
      <c r="A133" t="s">
        <v>569</v>
      </c>
      <c r="B133" s="29">
        <f t="shared" si="26"/>
        <v>45904.355813871181</v>
      </c>
      <c r="C133" s="29">
        <f t="shared" si="27"/>
        <v>45904.689147204517</v>
      </c>
      <c r="D133">
        <v>-31.980998075999999</v>
      </c>
      <c r="E133">
        <v>115.81794716900001</v>
      </c>
      <c r="F133">
        <v>1.2909999999999999</v>
      </c>
      <c r="G133">
        <v>0</v>
      </c>
      <c r="H133" s="30">
        <f t="shared" si="28"/>
        <v>5.0054892199113965</v>
      </c>
      <c r="I133" s="31">
        <f t="shared" si="29"/>
        <v>190.09997010961183</v>
      </c>
      <c r="J133" t="b">
        <f t="shared" si="30"/>
        <v>1</v>
      </c>
      <c r="K133" t="b">
        <f t="shared" si="31"/>
        <v>0</v>
      </c>
      <c r="L133" t="b">
        <f t="shared" si="32"/>
        <v>0</v>
      </c>
      <c r="M133" t="b">
        <f t="shared" si="33"/>
        <v>1</v>
      </c>
      <c r="N133" t="b">
        <f t="shared" si="34"/>
        <v>0</v>
      </c>
      <c r="O133">
        <f t="shared" si="38"/>
        <v>5</v>
      </c>
      <c r="P133" s="31">
        <f t="shared" si="35"/>
        <v>774.62238951120526</v>
      </c>
      <c r="Q133" t="str">
        <f t="shared" si="36"/>
        <v>WT</v>
      </c>
      <c r="R133" s="32"/>
      <c r="S133" t="str">
        <f t="shared" si="37"/>
        <v>WT</v>
      </c>
    </row>
    <row r="134" spans="1:19" x14ac:dyDescent="0.2">
      <c r="A134" t="s">
        <v>570</v>
      </c>
      <c r="B134" s="29">
        <f t="shared" si="26"/>
        <v>45904.355871805084</v>
      </c>
      <c r="C134" s="29">
        <f t="shared" si="27"/>
        <v>45904.68920513842</v>
      </c>
      <c r="D134">
        <v>-31.980999600000001</v>
      </c>
      <c r="E134">
        <v>115.818015546</v>
      </c>
      <c r="F134">
        <v>1.2889999999999999</v>
      </c>
      <c r="G134">
        <v>0</v>
      </c>
      <c r="H134" s="30">
        <f t="shared" si="28"/>
        <v>5.1702646538615227</v>
      </c>
      <c r="I134" s="31">
        <f t="shared" si="29"/>
        <v>196.39865331672644</v>
      </c>
      <c r="J134" t="b">
        <f t="shared" si="30"/>
        <v>1</v>
      </c>
      <c r="K134" t="b">
        <f t="shared" si="31"/>
        <v>0</v>
      </c>
      <c r="L134" t="b">
        <f t="shared" si="32"/>
        <v>0</v>
      </c>
      <c r="M134" t="b">
        <f t="shared" si="33"/>
        <v>1</v>
      </c>
      <c r="N134" t="b">
        <f t="shared" si="34"/>
        <v>0</v>
      </c>
      <c r="O134">
        <f t="shared" si="38"/>
        <v>5</v>
      </c>
      <c r="P134" s="31">
        <f t="shared" si="35"/>
        <v>774.62238951120526</v>
      </c>
      <c r="Q134" t="str">
        <f t="shared" si="36"/>
        <v>WT</v>
      </c>
      <c r="R134" s="32"/>
      <c r="S134" t="str">
        <f t="shared" si="37"/>
        <v>WT</v>
      </c>
    </row>
    <row r="135" spans="1:19" x14ac:dyDescent="0.2">
      <c r="A135" t="s">
        <v>571</v>
      </c>
      <c r="B135" s="29">
        <f t="shared" si="26"/>
        <v>45904.355931646111</v>
      </c>
      <c r="C135" s="29">
        <f t="shared" si="27"/>
        <v>45904.689264979446</v>
      </c>
      <c r="D135">
        <v>-31.980991869</v>
      </c>
      <c r="E135">
        <v>115.818088207</v>
      </c>
      <c r="F135">
        <v>1.3360000000000001</v>
      </c>
      <c r="G135">
        <v>0</v>
      </c>
      <c r="H135" s="30">
        <f t="shared" si="28"/>
        <v>5.008089286275208</v>
      </c>
      <c r="I135" s="31">
        <f t="shared" si="29"/>
        <v>203.29220802737296</v>
      </c>
      <c r="J135" t="b">
        <f t="shared" si="30"/>
        <v>1</v>
      </c>
      <c r="K135" t="b">
        <f t="shared" si="31"/>
        <v>0</v>
      </c>
      <c r="L135" t="b">
        <f t="shared" si="32"/>
        <v>0</v>
      </c>
      <c r="M135" t="b">
        <f t="shared" si="33"/>
        <v>1</v>
      </c>
      <c r="N135" t="b">
        <f t="shared" si="34"/>
        <v>0</v>
      </c>
      <c r="O135">
        <f t="shared" si="38"/>
        <v>5</v>
      </c>
      <c r="P135" s="31">
        <f t="shared" si="35"/>
        <v>774.62238951120526</v>
      </c>
      <c r="Q135" t="str">
        <f t="shared" si="36"/>
        <v>WT</v>
      </c>
      <c r="R135" s="32"/>
      <c r="S135" t="str">
        <f t="shared" si="37"/>
        <v>WT</v>
      </c>
    </row>
    <row r="136" spans="1:19" x14ac:dyDescent="0.2">
      <c r="A136" t="s">
        <v>572</v>
      </c>
      <c r="B136" s="29">
        <f t="shared" si="26"/>
        <v>45904.355989610107</v>
      </c>
      <c r="C136" s="29">
        <f t="shared" si="27"/>
        <v>45904.689322943443</v>
      </c>
      <c r="D136">
        <v>-31.980964712999999</v>
      </c>
      <c r="E136">
        <v>115.81815197900001</v>
      </c>
      <c r="F136">
        <v>1.3440000000000001</v>
      </c>
      <c r="G136">
        <v>0</v>
      </c>
      <c r="H136" s="30">
        <f t="shared" si="28"/>
        <v>5.0068206852301955</v>
      </c>
      <c r="I136" s="31">
        <f t="shared" si="29"/>
        <v>209.76999325273971</v>
      </c>
      <c r="J136" t="b">
        <f t="shared" si="30"/>
        <v>1</v>
      </c>
      <c r="K136" t="b">
        <f t="shared" si="31"/>
        <v>0</v>
      </c>
      <c r="L136" t="b">
        <f t="shared" si="32"/>
        <v>0</v>
      </c>
      <c r="M136" t="b">
        <f t="shared" si="33"/>
        <v>1</v>
      </c>
      <c r="N136" t="b">
        <f t="shared" si="34"/>
        <v>0</v>
      </c>
      <c r="O136">
        <f t="shared" si="38"/>
        <v>5</v>
      </c>
      <c r="P136" s="31">
        <f t="shared" si="35"/>
        <v>774.62238951120526</v>
      </c>
      <c r="Q136" t="str">
        <f t="shared" si="36"/>
        <v>WT</v>
      </c>
      <c r="R136" s="32"/>
      <c r="S136" t="str">
        <f t="shared" si="37"/>
        <v>WT</v>
      </c>
    </row>
    <row r="137" spans="1:19" x14ac:dyDescent="0.2">
      <c r="A137" t="s">
        <v>573</v>
      </c>
      <c r="B137" s="29">
        <f t="shared" si="26"/>
        <v>45904.35604755942</v>
      </c>
      <c r="C137" s="29">
        <f t="shared" si="27"/>
        <v>45904.689380892756</v>
      </c>
      <c r="D137">
        <v>-31.980935833</v>
      </c>
      <c r="E137">
        <v>115.81821795</v>
      </c>
      <c r="F137">
        <v>1.399</v>
      </c>
      <c r="G137">
        <v>0</v>
      </c>
      <c r="H137" s="30">
        <f t="shared" si="28"/>
        <v>5.1900536986067891</v>
      </c>
      <c r="I137" s="31">
        <f t="shared" si="29"/>
        <v>216.50507393109683</v>
      </c>
      <c r="J137" t="b">
        <f t="shared" si="30"/>
        <v>1</v>
      </c>
      <c r="K137" t="b">
        <f t="shared" si="31"/>
        <v>0</v>
      </c>
      <c r="L137" t="b">
        <f t="shared" si="32"/>
        <v>0</v>
      </c>
      <c r="M137" t="b">
        <f t="shared" si="33"/>
        <v>1</v>
      </c>
      <c r="N137" t="b">
        <f t="shared" si="34"/>
        <v>0</v>
      </c>
      <c r="O137">
        <f t="shared" si="38"/>
        <v>5</v>
      </c>
      <c r="P137" s="31">
        <f t="shared" si="35"/>
        <v>774.62238951120526</v>
      </c>
      <c r="Q137" t="str">
        <f t="shared" si="36"/>
        <v>WT</v>
      </c>
      <c r="R137" s="32"/>
      <c r="S137" t="str">
        <f t="shared" si="37"/>
        <v>WT</v>
      </c>
    </row>
    <row r="138" spans="1:19" x14ac:dyDescent="0.2">
      <c r="A138" t="s">
        <v>574</v>
      </c>
      <c r="B138" s="29">
        <f t="shared" si="26"/>
        <v>45904.356107629486</v>
      </c>
      <c r="C138" s="29">
        <f t="shared" si="27"/>
        <v>45904.689440962822</v>
      </c>
      <c r="D138">
        <v>-31.980910960999999</v>
      </c>
      <c r="E138">
        <v>115.818276944</v>
      </c>
      <c r="F138">
        <v>1.1970000000000001</v>
      </c>
      <c r="G138">
        <v>0</v>
      </c>
      <c r="H138" s="30">
        <f t="shared" si="28"/>
        <v>5.2034582477062941</v>
      </c>
      <c r="I138" s="31">
        <f t="shared" si="29"/>
        <v>222.5195930814667</v>
      </c>
      <c r="J138" t="b">
        <f t="shared" si="30"/>
        <v>1</v>
      </c>
      <c r="K138" t="b">
        <f t="shared" si="31"/>
        <v>0</v>
      </c>
      <c r="L138" t="b">
        <f t="shared" si="32"/>
        <v>0</v>
      </c>
      <c r="M138" t="b">
        <f t="shared" si="33"/>
        <v>1</v>
      </c>
      <c r="N138" t="b">
        <f t="shared" si="34"/>
        <v>0</v>
      </c>
      <c r="O138">
        <f t="shared" si="38"/>
        <v>5</v>
      </c>
      <c r="P138" s="31">
        <f t="shared" si="35"/>
        <v>774.62238951120526</v>
      </c>
      <c r="Q138" t="str">
        <f t="shared" si="36"/>
        <v>WT</v>
      </c>
      <c r="R138" s="32"/>
      <c r="S138" t="str">
        <f t="shared" si="37"/>
        <v>WT</v>
      </c>
    </row>
    <row r="139" spans="1:19" x14ac:dyDescent="0.2">
      <c r="A139" t="s">
        <v>575</v>
      </c>
      <c r="B139" s="29">
        <f t="shared" si="26"/>
        <v>45904.356167854698</v>
      </c>
      <c r="C139" s="29">
        <f t="shared" si="27"/>
        <v>45904.689501188033</v>
      </c>
      <c r="D139">
        <v>-31.980882647000001</v>
      </c>
      <c r="E139">
        <v>115.81833885</v>
      </c>
      <c r="F139">
        <v>1.2749999999999999</v>
      </c>
      <c r="G139">
        <v>0</v>
      </c>
      <c r="H139" s="30">
        <f t="shared" si="28"/>
        <v>5.1791599486023188</v>
      </c>
      <c r="I139" s="31">
        <f t="shared" si="29"/>
        <v>228.8958219326864</v>
      </c>
      <c r="J139" t="b">
        <f t="shared" si="30"/>
        <v>1</v>
      </c>
      <c r="K139" t="b">
        <f t="shared" si="31"/>
        <v>0</v>
      </c>
      <c r="L139" t="b">
        <f t="shared" si="32"/>
        <v>0</v>
      </c>
      <c r="M139" t="b">
        <f t="shared" si="33"/>
        <v>1</v>
      </c>
      <c r="N139" t="b">
        <f t="shared" si="34"/>
        <v>0</v>
      </c>
      <c r="O139">
        <f t="shared" si="38"/>
        <v>5</v>
      </c>
      <c r="P139" s="31">
        <f t="shared" si="35"/>
        <v>774.62238951120526</v>
      </c>
      <c r="Q139" t="str">
        <f t="shared" si="36"/>
        <v>WT</v>
      </c>
      <c r="R139" s="32"/>
      <c r="S139" t="str">
        <f t="shared" si="37"/>
        <v>WT</v>
      </c>
    </row>
    <row r="140" spans="1:19" x14ac:dyDescent="0.2">
      <c r="A140" t="s">
        <v>576</v>
      </c>
      <c r="B140" s="29">
        <f t="shared" si="26"/>
        <v>45904.356227798678</v>
      </c>
      <c r="C140" s="29">
        <f t="shared" si="27"/>
        <v>45904.689561132014</v>
      </c>
      <c r="D140">
        <v>-31.980851723000001</v>
      </c>
      <c r="E140">
        <v>115.818398019</v>
      </c>
      <c r="F140">
        <v>1.266</v>
      </c>
      <c r="G140">
        <v>0</v>
      </c>
      <c r="H140" s="30">
        <f t="shared" si="28"/>
        <v>5.0078541738912463</v>
      </c>
      <c r="I140" s="31">
        <f t="shared" si="29"/>
        <v>235.10023411293807</v>
      </c>
      <c r="J140" t="b">
        <f t="shared" si="30"/>
        <v>1</v>
      </c>
      <c r="K140" t="b">
        <f t="shared" si="31"/>
        <v>0</v>
      </c>
      <c r="L140" t="b">
        <f t="shared" si="32"/>
        <v>0</v>
      </c>
      <c r="M140" t="b">
        <f t="shared" si="33"/>
        <v>1</v>
      </c>
      <c r="N140" t="b">
        <f t="shared" si="34"/>
        <v>0</v>
      </c>
      <c r="O140">
        <f t="shared" si="38"/>
        <v>5</v>
      </c>
      <c r="P140" s="31">
        <f t="shared" si="35"/>
        <v>774.62238951120526</v>
      </c>
      <c r="Q140" t="str">
        <f t="shared" si="36"/>
        <v>WT</v>
      </c>
      <c r="R140" s="32"/>
      <c r="S140" t="str">
        <f t="shared" si="37"/>
        <v>WT</v>
      </c>
    </row>
    <row r="141" spans="1:19" x14ac:dyDescent="0.2">
      <c r="A141" t="s">
        <v>577</v>
      </c>
      <c r="B141" s="29">
        <f t="shared" si="26"/>
        <v>45904.356285759954</v>
      </c>
      <c r="C141" s="29">
        <f t="shared" si="27"/>
        <v>45904.689619093289</v>
      </c>
      <c r="D141">
        <v>-31.980816525000002</v>
      </c>
      <c r="E141">
        <v>115.818451389</v>
      </c>
      <c r="F141">
        <v>1.2729999999999999</v>
      </c>
      <c r="G141">
        <v>0</v>
      </c>
      <c r="H141" s="30">
        <f t="shared" si="28"/>
        <v>5.2232284331694245</v>
      </c>
      <c r="I141" s="31">
        <f t="shared" si="29"/>
        <v>240.90373845782253</v>
      </c>
      <c r="J141" t="b">
        <f t="shared" si="30"/>
        <v>1</v>
      </c>
      <c r="K141" t="b">
        <f t="shared" si="31"/>
        <v>0</v>
      </c>
      <c r="L141" t="b">
        <f t="shared" si="32"/>
        <v>0</v>
      </c>
      <c r="M141" t="b">
        <f t="shared" si="33"/>
        <v>1</v>
      </c>
      <c r="N141" t="b">
        <f t="shared" si="34"/>
        <v>0</v>
      </c>
      <c r="O141">
        <f t="shared" si="38"/>
        <v>5</v>
      </c>
      <c r="P141" s="31">
        <f t="shared" si="35"/>
        <v>774.62238951120526</v>
      </c>
      <c r="Q141" t="str">
        <f t="shared" si="36"/>
        <v>WT</v>
      </c>
      <c r="R141" s="32"/>
      <c r="S141" t="str">
        <f t="shared" si="37"/>
        <v>WT</v>
      </c>
    </row>
    <row r="142" spans="1:19" x14ac:dyDescent="0.2">
      <c r="A142" t="s">
        <v>578</v>
      </c>
      <c r="B142" s="29">
        <f t="shared" si="26"/>
        <v>45904.356346213986</v>
      </c>
      <c r="C142" s="29">
        <f t="shared" si="27"/>
        <v>45904.689679547322</v>
      </c>
      <c r="D142">
        <v>-31.980776878</v>
      </c>
      <c r="E142">
        <v>115.81850381</v>
      </c>
      <c r="F142">
        <v>1.268</v>
      </c>
      <c r="G142">
        <v>0</v>
      </c>
      <c r="H142" s="30">
        <f t="shared" si="28"/>
        <v>5.1888976246118546</v>
      </c>
      <c r="I142" s="31">
        <f t="shared" si="29"/>
        <v>246.77163346907815</v>
      </c>
      <c r="J142" t="b">
        <f t="shared" si="30"/>
        <v>1</v>
      </c>
      <c r="K142" t="b">
        <f t="shared" si="31"/>
        <v>0</v>
      </c>
      <c r="L142" t="b">
        <f t="shared" si="32"/>
        <v>0</v>
      </c>
      <c r="M142" t="b">
        <f t="shared" si="33"/>
        <v>1</v>
      </c>
      <c r="N142" t="b">
        <f t="shared" si="34"/>
        <v>0</v>
      </c>
      <c r="O142">
        <f t="shared" si="38"/>
        <v>5</v>
      </c>
      <c r="P142" s="31">
        <f t="shared" si="35"/>
        <v>774.62238951120526</v>
      </c>
      <c r="Q142" t="str">
        <f t="shared" si="36"/>
        <v>WT</v>
      </c>
      <c r="R142" s="32"/>
      <c r="S142" t="str">
        <f t="shared" si="37"/>
        <v>WT</v>
      </c>
    </row>
    <row r="143" spans="1:19" x14ac:dyDescent="0.2">
      <c r="A143" t="s">
        <v>579</v>
      </c>
      <c r="B143" s="29">
        <f t="shared" si="26"/>
        <v>45904.356406270672</v>
      </c>
      <c r="C143" s="29">
        <f t="shared" si="27"/>
        <v>45904.689739604008</v>
      </c>
      <c r="D143">
        <v>-31.980732925000002</v>
      </c>
      <c r="E143">
        <v>115.81854502500001</v>
      </c>
      <c r="F143">
        <v>1.2030000000000001</v>
      </c>
      <c r="G143">
        <v>0</v>
      </c>
      <c r="H143" s="30">
        <f t="shared" si="28"/>
        <v>5.1809402648359537</v>
      </c>
      <c r="I143" s="31">
        <f t="shared" si="29"/>
        <v>251.78258178983387</v>
      </c>
      <c r="J143" t="b">
        <f t="shared" si="30"/>
        <v>1</v>
      </c>
      <c r="K143" t="b">
        <f t="shared" si="31"/>
        <v>0</v>
      </c>
      <c r="L143" t="b">
        <f t="shared" si="32"/>
        <v>0</v>
      </c>
      <c r="M143" t="b">
        <f t="shared" si="33"/>
        <v>1</v>
      </c>
      <c r="N143" t="b">
        <f t="shared" si="34"/>
        <v>0</v>
      </c>
      <c r="O143">
        <f t="shared" si="38"/>
        <v>5</v>
      </c>
      <c r="P143" s="31">
        <f t="shared" si="35"/>
        <v>774.62238951120526</v>
      </c>
      <c r="Q143" t="str">
        <f t="shared" si="36"/>
        <v>WT</v>
      </c>
      <c r="R143" s="32"/>
      <c r="S143" t="str">
        <f t="shared" si="37"/>
        <v>WT</v>
      </c>
    </row>
    <row r="144" spans="1:19" x14ac:dyDescent="0.2">
      <c r="A144" t="s">
        <v>580</v>
      </c>
      <c r="B144" s="29">
        <f t="shared" si="26"/>
        <v>45904.356466235258</v>
      </c>
      <c r="C144" s="29">
        <f t="shared" si="27"/>
        <v>45904.689799568594</v>
      </c>
      <c r="D144">
        <v>-31.980684643</v>
      </c>
      <c r="E144">
        <v>115.818582733</v>
      </c>
      <c r="F144">
        <v>1.2430000000000001</v>
      </c>
      <c r="G144">
        <v>0</v>
      </c>
      <c r="H144" s="30">
        <f t="shared" si="28"/>
        <v>5.0081785535439849</v>
      </c>
      <c r="I144" s="31">
        <f t="shared" si="29"/>
        <v>256.66401774228461</v>
      </c>
      <c r="J144" t="b">
        <f t="shared" si="30"/>
        <v>1</v>
      </c>
      <c r="K144" t="b">
        <f t="shared" si="31"/>
        <v>0</v>
      </c>
      <c r="L144" t="b">
        <f t="shared" si="32"/>
        <v>0</v>
      </c>
      <c r="M144" t="b">
        <f t="shared" si="33"/>
        <v>1</v>
      </c>
      <c r="N144" t="b">
        <f t="shared" si="34"/>
        <v>0</v>
      </c>
      <c r="O144">
        <f t="shared" si="38"/>
        <v>5</v>
      </c>
      <c r="P144" s="31">
        <f t="shared" si="35"/>
        <v>774.62238951120526</v>
      </c>
      <c r="Q144" t="str">
        <f t="shared" si="36"/>
        <v>WT</v>
      </c>
      <c r="R144" s="32"/>
      <c r="S144" t="str">
        <f t="shared" si="37"/>
        <v>WT</v>
      </c>
    </row>
    <row r="145" spans="1:19" x14ac:dyDescent="0.2">
      <c r="A145" t="s">
        <v>581</v>
      </c>
      <c r="B145" s="29">
        <f t="shared" si="26"/>
        <v>45904.356524200288</v>
      </c>
      <c r="C145" s="29">
        <f t="shared" si="27"/>
        <v>45904.689857533624</v>
      </c>
      <c r="D145">
        <v>-31.98063964</v>
      </c>
      <c r="E145">
        <v>115.81861714</v>
      </c>
      <c r="F145">
        <v>1.1910000000000001</v>
      </c>
      <c r="G145">
        <v>0</v>
      </c>
      <c r="H145" s="30">
        <f t="shared" si="28"/>
        <v>5.192165938206017</v>
      </c>
      <c r="I145" s="31">
        <f t="shared" si="29"/>
        <v>261.20802955883698</v>
      </c>
      <c r="J145" t="b">
        <f t="shared" si="30"/>
        <v>1</v>
      </c>
      <c r="K145" t="b">
        <f t="shared" si="31"/>
        <v>0</v>
      </c>
      <c r="L145" t="b">
        <f t="shared" si="32"/>
        <v>0</v>
      </c>
      <c r="M145" t="b">
        <f t="shared" si="33"/>
        <v>1</v>
      </c>
      <c r="N145" t="b">
        <f t="shared" si="34"/>
        <v>0</v>
      </c>
      <c r="O145">
        <f t="shared" si="38"/>
        <v>5</v>
      </c>
      <c r="P145" s="31">
        <f t="shared" si="35"/>
        <v>774.62238951120526</v>
      </c>
      <c r="Q145" t="str">
        <f t="shared" si="36"/>
        <v>WT</v>
      </c>
      <c r="R145" s="32"/>
      <c r="S145" t="str">
        <f t="shared" si="37"/>
        <v>WT</v>
      </c>
    </row>
    <row r="146" spans="1:19" x14ac:dyDescent="0.2">
      <c r="A146" t="s">
        <v>582</v>
      </c>
      <c r="B146" s="29">
        <f t="shared" si="26"/>
        <v>45904.356584294801</v>
      </c>
      <c r="C146" s="29">
        <f t="shared" si="27"/>
        <v>45904.689917628137</v>
      </c>
      <c r="D146">
        <v>-31.980580928999998</v>
      </c>
      <c r="E146">
        <v>115.818656475</v>
      </c>
      <c r="F146">
        <v>1.446</v>
      </c>
      <c r="G146">
        <v>0</v>
      </c>
      <c r="H146" s="30">
        <f t="shared" si="28"/>
        <v>5.1890095230191946</v>
      </c>
      <c r="I146" s="31">
        <f t="shared" si="29"/>
        <v>266.72257786532748</v>
      </c>
      <c r="J146" t="b">
        <f t="shared" si="30"/>
        <v>1</v>
      </c>
      <c r="K146" t="b">
        <f t="shared" si="31"/>
        <v>0</v>
      </c>
      <c r="L146" t="b">
        <f t="shared" si="32"/>
        <v>0</v>
      </c>
      <c r="M146" t="b">
        <f t="shared" si="33"/>
        <v>1</v>
      </c>
      <c r="N146" t="b">
        <f t="shared" si="34"/>
        <v>0</v>
      </c>
      <c r="O146">
        <f t="shared" si="38"/>
        <v>5</v>
      </c>
      <c r="P146" s="31">
        <f t="shared" si="35"/>
        <v>774.62238951120526</v>
      </c>
      <c r="Q146" t="str">
        <f t="shared" si="36"/>
        <v>WT</v>
      </c>
      <c r="R146" s="32"/>
      <c r="S146" t="str">
        <f t="shared" si="37"/>
        <v>WT</v>
      </c>
    </row>
    <row r="147" spans="1:19" x14ac:dyDescent="0.2">
      <c r="A147" t="s">
        <v>583</v>
      </c>
      <c r="B147" s="29">
        <f t="shared" si="26"/>
        <v>45904.356644352782</v>
      </c>
      <c r="C147" s="29">
        <f t="shared" si="27"/>
        <v>45904.689977686117</v>
      </c>
      <c r="D147">
        <v>-31.980532276000002</v>
      </c>
      <c r="E147">
        <v>115.818676329</v>
      </c>
      <c r="F147">
        <v>1.103</v>
      </c>
      <c r="G147">
        <v>0</v>
      </c>
      <c r="H147" s="30">
        <f t="shared" si="28"/>
        <v>5.2348589524626732</v>
      </c>
      <c r="I147" s="31">
        <f t="shared" si="29"/>
        <v>270.22941201579164</v>
      </c>
      <c r="J147" t="b">
        <f t="shared" si="30"/>
        <v>1</v>
      </c>
      <c r="K147" t="b">
        <f t="shared" si="31"/>
        <v>0</v>
      </c>
      <c r="L147" t="b">
        <f t="shared" si="32"/>
        <v>0</v>
      </c>
      <c r="M147" t="b">
        <f t="shared" si="33"/>
        <v>1</v>
      </c>
      <c r="N147" t="b">
        <f t="shared" si="34"/>
        <v>0</v>
      </c>
      <c r="O147">
        <f t="shared" si="38"/>
        <v>5</v>
      </c>
      <c r="P147" s="31">
        <f t="shared" si="35"/>
        <v>774.62238951120526</v>
      </c>
      <c r="Q147" t="str">
        <f t="shared" si="36"/>
        <v>WT</v>
      </c>
      <c r="R147" s="32"/>
      <c r="S147" t="str">
        <f t="shared" si="37"/>
        <v>WT</v>
      </c>
    </row>
    <row r="148" spans="1:19" x14ac:dyDescent="0.2">
      <c r="A148" t="s">
        <v>584</v>
      </c>
      <c r="B148" s="29">
        <f t="shared" si="26"/>
        <v>45904.356704941427</v>
      </c>
      <c r="C148" s="29">
        <f t="shared" si="27"/>
        <v>45904.690038274763</v>
      </c>
      <c r="D148">
        <v>-31.980474058999999</v>
      </c>
      <c r="E148">
        <v>115.818708726</v>
      </c>
      <c r="F148">
        <v>1.367</v>
      </c>
      <c r="G148">
        <v>0</v>
      </c>
      <c r="H148" s="30">
        <f t="shared" si="28"/>
        <v>5.007589515298605</v>
      </c>
      <c r="I148" s="31">
        <f t="shared" si="29"/>
        <v>275.28817701975947</v>
      </c>
      <c r="J148" t="b">
        <f t="shared" si="30"/>
        <v>1</v>
      </c>
      <c r="K148" t="b">
        <f t="shared" si="31"/>
        <v>0</v>
      </c>
      <c r="L148" t="b">
        <f t="shared" si="32"/>
        <v>0</v>
      </c>
      <c r="M148" t="b">
        <f t="shared" si="33"/>
        <v>1</v>
      </c>
      <c r="N148" t="b">
        <f t="shared" si="34"/>
        <v>0</v>
      </c>
      <c r="O148">
        <f t="shared" si="38"/>
        <v>5</v>
      </c>
      <c r="P148" s="31">
        <f t="shared" si="35"/>
        <v>774.62238951120526</v>
      </c>
      <c r="Q148" t="str">
        <f t="shared" si="36"/>
        <v>WT</v>
      </c>
      <c r="R148" s="32"/>
      <c r="S148" t="str">
        <f t="shared" si="37"/>
        <v>WT</v>
      </c>
    </row>
    <row r="149" spans="1:19" x14ac:dyDescent="0.2">
      <c r="A149" t="s">
        <v>585</v>
      </c>
      <c r="B149" s="29">
        <f t="shared" si="26"/>
        <v>45904.356762899639</v>
      </c>
      <c r="C149" s="29">
        <f t="shared" si="27"/>
        <v>45904.690096232975</v>
      </c>
      <c r="D149">
        <v>-31.980438492000001</v>
      </c>
      <c r="E149">
        <v>115.818726234</v>
      </c>
      <c r="F149">
        <v>0.85599999999999998</v>
      </c>
      <c r="G149">
        <v>0</v>
      </c>
      <c r="H149" s="30">
        <f t="shared" si="28"/>
        <v>5.179406376555562</v>
      </c>
      <c r="I149" s="31">
        <f t="shared" si="29"/>
        <v>278.22276657988954</v>
      </c>
      <c r="J149" t="b">
        <f t="shared" si="30"/>
        <v>1</v>
      </c>
      <c r="K149" t="b">
        <f t="shared" si="31"/>
        <v>0</v>
      </c>
      <c r="L149" t="b">
        <f t="shared" si="32"/>
        <v>0</v>
      </c>
      <c r="M149" t="b">
        <f t="shared" si="33"/>
        <v>1</v>
      </c>
      <c r="N149" t="b">
        <f t="shared" si="34"/>
        <v>0</v>
      </c>
      <c r="O149">
        <f t="shared" si="38"/>
        <v>5</v>
      </c>
      <c r="P149" s="31">
        <f t="shared" si="35"/>
        <v>774.62238951120526</v>
      </c>
      <c r="Q149" t="str">
        <f t="shared" si="36"/>
        <v>WT</v>
      </c>
      <c r="R149" s="32"/>
      <c r="S149" t="str">
        <f t="shared" si="37"/>
        <v>WT</v>
      </c>
    </row>
    <row r="150" spans="1:19" x14ac:dyDescent="0.2">
      <c r="A150" t="s">
        <v>586</v>
      </c>
      <c r="B150" s="29">
        <f t="shared" si="26"/>
        <v>45904.356822846472</v>
      </c>
      <c r="C150" s="29">
        <f t="shared" si="27"/>
        <v>45904.690156179808</v>
      </c>
      <c r="D150">
        <v>-31.980388959999999</v>
      </c>
      <c r="E150">
        <v>115.818765465</v>
      </c>
      <c r="F150">
        <v>1.2809999999999999</v>
      </c>
      <c r="G150">
        <v>0</v>
      </c>
      <c r="H150" s="30">
        <f t="shared" si="28"/>
        <v>5.1891886861994863</v>
      </c>
      <c r="I150" s="31">
        <f t="shared" si="29"/>
        <v>283.66842550240642</v>
      </c>
      <c r="J150" t="b">
        <f t="shared" si="30"/>
        <v>1</v>
      </c>
      <c r="K150" t="b">
        <f t="shared" si="31"/>
        <v>0</v>
      </c>
      <c r="L150" t="b">
        <f t="shared" si="32"/>
        <v>0</v>
      </c>
      <c r="M150" t="b">
        <f t="shared" si="33"/>
        <v>1</v>
      </c>
      <c r="N150" t="b">
        <f t="shared" si="34"/>
        <v>0</v>
      </c>
      <c r="O150">
        <f t="shared" si="38"/>
        <v>5</v>
      </c>
      <c r="P150" s="31">
        <f t="shared" si="35"/>
        <v>774.62238951120526</v>
      </c>
      <c r="Q150" t="str">
        <f t="shared" si="36"/>
        <v>WT</v>
      </c>
      <c r="R150" s="32"/>
      <c r="S150" t="str">
        <f t="shared" si="37"/>
        <v>WT</v>
      </c>
    </row>
    <row r="151" spans="1:19" x14ac:dyDescent="0.2">
      <c r="A151" t="s">
        <v>587</v>
      </c>
      <c r="B151" s="29">
        <f t="shared" si="26"/>
        <v>45904.356882906526</v>
      </c>
      <c r="C151" s="29">
        <f t="shared" si="27"/>
        <v>45904.690216239862</v>
      </c>
      <c r="D151">
        <v>-31.980341113000001</v>
      </c>
      <c r="E151">
        <v>115.818783749</v>
      </c>
      <c r="F151">
        <v>1.0780000000000001</v>
      </c>
      <c r="G151">
        <v>0</v>
      </c>
      <c r="H151" s="30">
        <f t="shared" si="28"/>
        <v>5.1812589867040515</v>
      </c>
      <c r="I151" s="31">
        <f t="shared" si="29"/>
        <v>287.26626350942598</v>
      </c>
      <c r="J151" t="b">
        <f t="shared" si="30"/>
        <v>1</v>
      </c>
      <c r="K151" t="b">
        <f t="shared" si="31"/>
        <v>0</v>
      </c>
      <c r="L151" t="b">
        <f t="shared" si="32"/>
        <v>0</v>
      </c>
      <c r="M151" t="b">
        <f t="shared" si="33"/>
        <v>1</v>
      </c>
      <c r="N151" t="b">
        <f t="shared" si="34"/>
        <v>0</v>
      </c>
      <c r="O151">
        <f t="shared" si="38"/>
        <v>5</v>
      </c>
      <c r="P151" s="31">
        <f t="shared" si="35"/>
        <v>774.62238951120526</v>
      </c>
      <c r="Q151" t="str">
        <f t="shared" si="36"/>
        <v>WT</v>
      </c>
      <c r="R151" s="32"/>
      <c r="S151" t="str">
        <f t="shared" si="37"/>
        <v>WT</v>
      </c>
    </row>
    <row r="152" spans="1:19" x14ac:dyDescent="0.2">
      <c r="A152" t="s">
        <v>588</v>
      </c>
      <c r="B152" s="29">
        <f t="shared" si="26"/>
        <v>45904.356942874801</v>
      </c>
      <c r="C152" s="29">
        <f t="shared" si="27"/>
        <v>45904.690276208137</v>
      </c>
      <c r="D152">
        <v>-31.980281078000001</v>
      </c>
      <c r="E152">
        <v>115.818788387</v>
      </c>
      <c r="F152">
        <v>1.2909999999999999</v>
      </c>
      <c r="G152">
        <v>0</v>
      </c>
      <c r="H152" s="30">
        <f t="shared" si="28"/>
        <v>5.0180205842480063</v>
      </c>
      <c r="I152" s="31">
        <f t="shared" si="29"/>
        <v>290.28775251143804</v>
      </c>
      <c r="J152" t="b">
        <f t="shared" si="30"/>
        <v>1</v>
      </c>
      <c r="K152" t="b">
        <f t="shared" si="31"/>
        <v>0</v>
      </c>
      <c r="L152" t="b">
        <f t="shared" si="32"/>
        <v>0</v>
      </c>
      <c r="M152" t="b">
        <f t="shared" si="33"/>
        <v>1</v>
      </c>
      <c r="N152" t="b">
        <f t="shared" si="34"/>
        <v>0</v>
      </c>
      <c r="O152">
        <f t="shared" si="38"/>
        <v>5</v>
      </c>
      <c r="P152" s="31">
        <f t="shared" si="35"/>
        <v>774.62238951120526</v>
      </c>
      <c r="Q152" t="str">
        <f t="shared" si="36"/>
        <v>WT</v>
      </c>
      <c r="R152" s="32"/>
      <c r="S152" t="str">
        <f t="shared" si="37"/>
        <v>WT</v>
      </c>
    </row>
    <row r="153" spans="1:19" x14ac:dyDescent="0.2">
      <c r="A153" t="s">
        <v>589</v>
      </c>
      <c r="B153" s="29">
        <f t="shared" si="26"/>
        <v>45904.357000953743</v>
      </c>
      <c r="C153" s="29">
        <f t="shared" si="27"/>
        <v>45904.690334287079</v>
      </c>
      <c r="D153">
        <v>-31.980222646000001</v>
      </c>
      <c r="E153">
        <v>115.818791619</v>
      </c>
      <c r="F153">
        <v>1.296</v>
      </c>
      <c r="G153">
        <v>0</v>
      </c>
      <c r="H153" s="30">
        <f t="shared" si="28"/>
        <v>5.0074178958311677</v>
      </c>
      <c r="I153" s="31">
        <f t="shared" si="29"/>
        <v>293.23545518497514</v>
      </c>
      <c r="J153" t="b">
        <f t="shared" si="30"/>
        <v>1</v>
      </c>
      <c r="K153" t="b">
        <f t="shared" si="31"/>
        <v>0</v>
      </c>
      <c r="L153" t="b">
        <f t="shared" si="32"/>
        <v>0</v>
      </c>
      <c r="M153" t="b">
        <f t="shared" si="33"/>
        <v>1</v>
      </c>
      <c r="N153" t="b">
        <f t="shared" si="34"/>
        <v>0</v>
      </c>
      <c r="O153">
        <f t="shared" si="38"/>
        <v>5</v>
      </c>
      <c r="P153" s="31">
        <f t="shared" si="35"/>
        <v>774.62238951120526</v>
      </c>
      <c r="Q153" t="str">
        <f t="shared" si="36"/>
        <v>WT</v>
      </c>
      <c r="R153" s="32"/>
      <c r="S153" t="str">
        <f t="shared" si="37"/>
        <v>WT</v>
      </c>
    </row>
    <row r="154" spans="1:19" x14ac:dyDescent="0.2">
      <c r="A154" t="s">
        <v>590</v>
      </c>
      <c r="B154" s="29">
        <f t="shared" si="26"/>
        <v>45904.357058909969</v>
      </c>
      <c r="C154" s="29">
        <f t="shared" si="27"/>
        <v>45904.690392243305</v>
      </c>
      <c r="D154">
        <v>-31.980165380999999</v>
      </c>
      <c r="E154">
        <v>115.818793697</v>
      </c>
      <c r="F154">
        <v>1.272</v>
      </c>
      <c r="G154">
        <v>0</v>
      </c>
      <c r="H154" s="30">
        <f t="shared" si="28"/>
        <v>5.1803191658109426</v>
      </c>
      <c r="I154" s="31">
        <f t="shared" si="29"/>
        <v>296.1420059605428</v>
      </c>
      <c r="J154" t="b">
        <f t="shared" si="30"/>
        <v>1</v>
      </c>
      <c r="K154" t="b">
        <f t="shared" si="31"/>
        <v>0</v>
      </c>
      <c r="L154" t="b">
        <f t="shared" si="32"/>
        <v>0</v>
      </c>
      <c r="M154" t="b">
        <f t="shared" si="33"/>
        <v>1</v>
      </c>
      <c r="N154" t="b">
        <f t="shared" si="34"/>
        <v>0</v>
      </c>
      <c r="O154">
        <f t="shared" si="38"/>
        <v>5</v>
      </c>
      <c r="P154" s="31">
        <f t="shared" si="35"/>
        <v>774.62238951120526</v>
      </c>
      <c r="Q154" t="str">
        <f t="shared" si="36"/>
        <v>WT</v>
      </c>
      <c r="R154" s="32"/>
      <c r="S154" t="str">
        <f t="shared" si="37"/>
        <v>WT</v>
      </c>
    </row>
    <row r="155" spans="1:19" x14ac:dyDescent="0.2">
      <c r="A155" t="s">
        <v>591</v>
      </c>
      <c r="B155" s="29">
        <f t="shared" si="26"/>
        <v>45904.357118867367</v>
      </c>
      <c r="C155" s="29">
        <f t="shared" si="27"/>
        <v>45904.690452200703</v>
      </c>
      <c r="D155">
        <v>-31.9801064</v>
      </c>
      <c r="E155">
        <v>115.818795603</v>
      </c>
      <c r="F155">
        <v>1.266</v>
      </c>
      <c r="G155">
        <v>0</v>
      </c>
      <c r="H155" s="30">
        <f t="shared" si="28"/>
        <v>5.222548870369792</v>
      </c>
      <c r="I155" s="31">
        <f t="shared" si="29"/>
        <v>299.22826168037847</v>
      </c>
      <c r="J155" t="b">
        <f t="shared" si="30"/>
        <v>1</v>
      </c>
      <c r="K155" t="b">
        <f t="shared" si="31"/>
        <v>0</v>
      </c>
      <c r="L155" t="b">
        <f t="shared" si="32"/>
        <v>0</v>
      </c>
      <c r="M155" t="b">
        <f t="shared" si="33"/>
        <v>1</v>
      </c>
      <c r="N155" t="b">
        <f t="shared" si="34"/>
        <v>0</v>
      </c>
      <c r="O155">
        <f t="shared" si="38"/>
        <v>5</v>
      </c>
      <c r="P155" s="31">
        <f t="shared" si="35"/>
        <v>774.62238951120526</v>
      </c>
      <c r="Q155" t="str">
        <f t="shared" si="36"/>
        <v>WT</v>
      </c>
      <c r="R155" s="32"/>
      <c r="S155" t="str">
        <f t="shared" si="37"/>
        <v>WT</v>
      </c>
    </row>
    <row r="156" spans="1:19" x14ac:dyDescent="0.2">
      <c r="A156" t="s">
        <v>592</v>
      </c>
      <c r="B156" s="29">
        <f t="shared" si="26"/>
        <v>45904.357179313534</v>
      </c>
      <c r="C156" s="29">
        <f t="shared" si="27"/>
        <v>45904.69051264687</v>
      </c>
      <c r="D156">
        <v>-31.980042123</v>
      </c>
      <c r="E156">
        <v>115.81879601999999</v>
      </c>
      <c r="F156">
        <v>1.369</v>
      </c>
      <c r="G156">
        <v>0</v>
      </c>
      <c r="H156" s="30">
        <f t="shared" si="28"/>
        <v>5.0171228824183345</v>
      </c>
      <c r="I156" s="31">
        <f t="shared" si="29"/>
        <v>302.57980952781526</v>
      </c>
      <c r="J156" t="b">
        <f t="shared" si="30"/>
        <v>1</v>
      </c>
      <c r="K156" t="b">
        <f t="shared" si="31"/>
        <v>0</v>
      </c>
      <c r="L156" t="b">
        <f t="shared" si="32"/>
        <v>0</v>
      </c>
      <c r="M156" t="b">
        <f t="shared" si="33"/>
        <v>1</v>
      </c>
      <c r="N156" t="b">
        <f t="shared" si="34"/>
        <v>0</v>
      </c>
      <c r="O156">
        <f t="shared" si="38"/>
        <v>5</v>
      </c>
      <c r="P156" s="31">
        <f t="shared" si="35"/>
        <v>774.62238951120526</v>
      </c>
      <c r="Q156" t="str">
        <f t="shared" si="36"/>
        <v>WT</v>
      </c>
      <c r="R156" s="32"/>
      <c r="S156" t="str">
        <f t="shared" si="37"/>
        <v>WT</v>
      </c>
    </row>
    <row r="157" spans="1:19" x14ac:dyDescent="0.2">
      <c r="A157" t="s">
        <v>593</v>
      </c>
      <c r="B157" s="29">
        <f t="shared" si="26"/>
        <v>45904.357237382086</v>
      </c>
      <c r="C157" s="29">
        <f t="shared" si="27"/>
        <v>45904.690570715422</v>
      </c>
      <c r="D157">
        <v>-31.979983539999999</v>
      </c>
      <c r="E157">
        <v>115.81879770800001</v>
      </c>
      <c r="F157">
        <v>1.2989999999999999</v>
      </c>
      <c r="G157">
        <v>0</v>
      </c>
      <c r="H157" s="30">
        <f t="shared" si="28"/>
        <v>5.0101876957342029</v>
      </c>
      <c r="I157" s="31">
        <f t="shared" si="29"/>
        <v>305.85558178673062</v>
      </c>
      <c r="J157" t="b">
        <f t="shared" si="30"/>
        <v>1</v>
      </c>
      <c r="K157" t="b">
        <f t="shared" si="31"/>
        <v>0</v>
      </c>
      <c r="L157" t="b">
        <f t="shared" si="32"/>
        <v>0</v>
      </c>
      <c r="M157" t="b">
        <f t="shared" si="33"/>
        <v>1</v>
      </c>
      <c r="N157" t="b">
        <f t="shared" si="34"/>
        <v>0</v>
      </c>
      <c r="O157">
        <f t="shared" si="38"/>
        <v>5</v>
      </c>
      <c r="P157" s="31">
        <f t="shared" si="35"/>
        <v>774.62238951120526</v>
      </c>
      <c r="Q157" t="str">
        <f t="shared" si="36"/>
        <v>WT</v>
      </c>
      <c r="R157" s="32"/>
      <c r="S157" t="str">
        <f t="shared" si="37"/>
        <v>WT</v>
      </c>
    </row>
    <row r="158" spans="1:19" x14ac:dyDescent="0.2">
      <c r="A158" t="s">
        <v>594</v>
      </c>
      <c r="B158" s="29">
        <f t="shared" si="26"/>
        <v>45904.35729537037</v>
      </c>
      <c r="C158" s="29">
        <f t="shared" si="27"/>
        <v>45904.690628703705</v>
      </c>
      <c r="D158">
        <v>-31.979928506</v>
      </c>
      <c r="E158">
        <v>115.81879532799999</v>
      </c>
      <c r="F158">
        <v>1.222</v>
      </c>
      <c r="G158">
        <v>0</v>
      </c>
      <c r="H158" s="30">
        <f t="shared" si="28"/>
        <v>5.179401976056397</v>
      </c>
      <c r="I158" s="31">
        <f t="shared" si="29"/>
        <v>308.70350968286647</v>
      </c>
      <c r="J158" t="b">
        <f t="shared" si="30"/>
        <v>1</v>
      </c>
      <c r="K158" t="b">
        <f t="shared" si="31"/>
        <v>0</v>
      </c>
      <c r="L158" t="b">
        <f t="shared" si="32"/>
        <v>0</v>
      </c>
      <c r="M158" t="b">
        <f t="shared" si="33"/>
        <v>1</v>
      </c>
      <c r="N158" t="b">
        <f t="shared" si="34"/>
        <v>0</v>
      </c>
      <c r="O158">
        <f t="shared" si="38"/>
        <v>5</v>
      </c>
      <c r="P158" s="31">
        <f t="shared" si="35"/>
        <v>774.62238951120526</v>
      </c>
      <c r="Q158" t="str">
        <f t="shared" si="36"/>
        <v>WT</v>
      </c>
      <c r="R158" s="32"/>
      <c r="S158" t="str">
        <f t="shared" si="37"/>
        <v>WT</v>
      </c>
    </row>
    <row r="159" spans="1:19" x14ac:dyDescent="0.2">
      <c r="A159" t="s">
        <v>595</v>
      </c>
      <c r="B159" s="29">
        <f t="shared" si="26"/>
        <v>45904.357355317152</v>
      </c>
      <c r="C159" s="29">
        <f t="shared" si="27"/>
        <v>45904.690688650488</v>
      </c>
      <c r="D159">
        <v>-31.979868403000001</v>
      </c>
      <c r="E159">
        <v>115.818784917</v>
      </c>
      <c r="F159">
        <v>1.304</v>
      </c>
      <c r="G159">
        <v>0</v>
      </c>
      <c r="H159" s="30">
        <f t="shared" si="28"/>
        <v>5.1919830031692982</v>
      </c>
      <c r="I159" s="31">
        <f t="shared" si="29"/>
        <v>311.29275674005999</v>
      </c>
      <c r="J159" t="b">
        <f t="shared" si="30"/>
        <v>1</v>
      </c>
      <c r="K159" t="b">
        <f t="shared" si="31"/>
        <v>0</v>
      </c>
      <c r="L159" t="b">
        <f t="shared" si="32"/>
        <v>0</v>
      </c>
      <c r="M159" t="b">
        <f t="shared" si="33"/>
        <v>1</v>
      </c>
      <c r="N159" t="b">
        <f t="shared" si="34"/>
        <v>0</v>
      </c>
      <c r="O159">
        <f t="shared" si="38"/>
        <v>5</v>
      </c>
      <c r="P159" s="31">
        <f t="shared" si="35"/>
        <v>774.62238951120526</v>
      </c>
      <c r="Q159" t="str">
        <f t="shared" si="36"/>
        <v>WT</v>
      </c>
      <c r="R159" s="32"/>
      <c r="S159" t="str">
        <f t="shared" si="37"/>
        <v>WT</v>
      </c>
    </row>
    <row r="160" spans="1:19" x14ac:dyDescent="0.2">
      <c r="A160" t="s">
        <v>596</v>
      </c>
      <c r="B160" s="29">
        <f t="shared" si="26"/>
        <v>45904.357415409548</v>
      </c>
      <c r="C160" s="29">
        <f t="shared" si="27"/>
        <v>45904.690748742883</v>
      </c>
      <c r="D160">
        <v>-31.979825649999999</v>
      </c>
      <c r="E160">
        <v>115.81877352399999</v>
      </c>
      <c r="F160">
        <v>0.93899999999999995</v>
      </c>
      <c r="G160">
        <v>0</v>
      </c>
      <c r="H160" s="30">
        <f t="shared" si="28"/>
        <v>5.1990351174026728</v>
      </c>
      <c r="I160" s="31">
        <f t="shared" si="29"/>
        <v>312.89232280829816</v>
      </c>
      <c r="J160" t="b">
        <f t="shared" si="30"/>
        <v>1</v>
      </c>
      <c r="K160" t="b">
        <f t="shared" si="31"/>
        <v>0</v>
      </c>
      <c r="L160" t="b">
        <f t="shared" si="32"/>
        <v>0</v>
      </c>
      <c r="M160" t="b">
        <f t="shared" si="33"/>
        <v>1</v>
      </c>
      <c r="N160" t="b">
        <f t="shared" si="34"/>
        <v>0</v>
      </c>
      <c r="O160">
        <f t="shared" si="38"/>
        <v>5</v>
      </c>
      <c r="P160" s="31">
        <f t="shared" si="35"/>
        <v>774.62238951120526</v>
      </c>
      <c r="Q160" t="str">
        <f t="shared" si="36"/>
        <v>WT</v>
      </c>
      <c r="R160" s="32"/>
      <c r="S160" t="str">
        <f t="shared" si="37"/>
        <v>WT</v>
      </c>
    </row>
    <row r="161" spans="1:19" x14ac:dyDescent="0.2">
      <c r="A161" t="s">
        <v>597</v>
      </c>
      <c r="B161" s="29">
        <f t="shared" si="26"/>
        <v>45904.357475583565</v>
      </c>
      <c r="C161" s="29">
        <f t="shared" si="27"/>
        <v>45904.690808916901</v>
      </c>
      <c r="D161">
        <v>-31.979770689999999</v>
      </c>
      <c r="E161">
        <v>115.818760094</v>
      </c>
      <c r="F161">
        <v>1.2</v>
      </c>
      <c r="G161">
        <v>0</v>
      </c>
      <c r="H161" s="30">
        <f t="shared" si="28"/>
        <v>5.0030343700200319</v>
      </c>
      <c r="I161" s="31">
        <f t="shared" si="29"/>
        <v>315.14321597523553</v>
      </c>
      <c r="J161" t="b">
        <f t="shared" si="30"/>
        <v>1</v>
      </c>
      <c r="K161" t="b">
        <f t="shared" si="31"/>
        <v>0</v>
      </c>
      <c r="L161" t="b">
        <f t="shared" si="32"/>
        <v>0</v>
      </c>
      <c r="M161" t="b">
        <f t="shared" si="33"/>
        <v>1</v>
      </c>
      <c r="N161" t="b">
        <f t="shared" si="34"/>
        <v>0</v>
      </c>
      <c r="O161">
        <f t="shared" si="38"/>
        <v>5</v>
      </c>
      <c r="P161" s="31">
        <f t="shared" si="35"/>
        <v>774.62238951120526</v>
      </c>
      <c r="Q161" t="str">
        <f t="shared" si="36"/>
        <v>WT</v>
      </c>
      <c r="R161" s="32"/>
      <c r="S161" t="str">
        <f t="shared" si="37"/>
        <v>WT</v>
      </c>
    </row>
    <row r="162" spans="1:19" x14ac:dyDescent="0.2">
      <c r="A162" t="s">
        <v>598</v>
      </c>
      <c r="B162" s="29">
        <f t="shared" si="26"/>
        <v>45904.357533489056</v>
      </c>
      <c r="C162" s="29">
        <f t="shared" si="27"/>
        <v>45904.690866822391</v>
      </c>
      <c r="D162">
        <v>-31.979719408000001</v>
      </c>
      <c r="E162">
        <v>115.818747762</v>
      </c>
      <c r="F162">
        <v>1.163</v>
      </c>
      <c r="G162">
        <v>0</v>
      </c>
      <c r="H162" s="30">
        <f t="shared" si="28"/>
        <v>5.1862686406821012</v>
      </c>
      <c r="I162" s="31">
        <f t="shared" si="29"/>
        <v>317.3553045311175</v>
      </c>
      <c r="J162" t="b">
        <f t="shared" si="30"/>
        <v>1</v>
      </c>
      <c r="K162" t="b">
        <f t="shared" si="31"/>
        <v>0</v>
      </c>
      <c r="L162" t="b">
        <f t="shared" si="32"/>
        <v>0</v>
      </c>
      <c r="M162" t="b">
        <f t="shared" si="33"/>
        <v>1</v>
      </c>
      <c r="N162" t="b">
        <f t="shared" si="34"/>
        <v>0</v>
      </c>
      <c r="O162">
        <f t="shared" si="38"/>
        <v>5</v>
      </c>
      <c r="P162" s="31">
        <f t="shared" si="35"/>
        <v>774.62238951120526</v>
      </c>
      <c r="Q162" t="str">
        <f t="shared" si="36"/>
        <v>WT</v>
      </c>
      <c r="R162" s="32"/>
      <c r="S162" t="str">
        <f t="shared" si="37"/>
        <v>WT</v>
      </c>
    </row>
    <row r="163" spans="1:19" x14ac:dyDescent="0.2">
      <c r="A163" t="s">
        <v>599</v>
      </c>
      <c r="B163" s="29">
        <f t="shared" si="26"/>
        <v>45904.357593515313</v>
      </c>
      <c r="C163" s="29">
        <f t="shared" si="27"/>
        <v>45904.690926848649</v>
      </c>
      <c r="D163">
        <v>-31.979661801999999</v>
      </c>
      <c r="E163">
        <v>115.81873442</v>
      </c>
      <c r="F163">
        <v>1.2589999999999999</v>
      </c>
      <c r="G163">
        <v>0</v>
      </c>
      <c r="H163" s="30">
        <f t="shared" si="28"/>
        <v>5.0177477532997727</v>
      </c>
      <c r="I163" s="31">
        <f t="shared" si="29"/>
        <v>319.98745812323529</v>
      </c>
      <c r="J163" t="b">
        <f t="shared" si="30"/>
        <v>1</v>
      </c>
      <c r="K163" t="b">
        <f t="shared" si="31"/>
        <v>0</v>
      </c>
      <c r="L163" t="b">
        <f t="shared" si="32"/>
        <v>0</v>
      </c>
      <c r="M163" t="b">
        <f t="shared" si="33"/>
        <v>1</v>
      </c>
      <c r="N163" t="b">
        <f t="shared" si="34"/>
        <v>0</v>
      </c>
      <c r="O163">
        <f t="shared" si="38"/>
        <v>5</v>
      </c>
      <c r="P163" s="31">
        <f t="shared" si="35"/>
        <v>774.62238951120526</v>
      </c>
      <c r="Q163" t="str">
        <f t="shared" si="36"/>
        <v>WT</v>
      </c>
      <c r="R163" s="32"/>
      <c r="S163" t="str">
        <f t="shared" si="37"/>
        <v>WT</v>
      </c>
    </row>
    <row r="164" spans="1:19" x14ac:dyDescent="0.2">
      <c r="A164" t="s">
        <v>600</v>
      </c>
      <c r="B164" s="29">
        <f t="shared" si="26"/>
        <v>45904.357651591097</v>
      </c>
      <c r="C164" s="29">
        <f t="shared" si="27"/>
        <v>45904.690984924433</v>
      </c>
      <c r="D164">
        <v>-31.979605158999998</v>
      </c>
      <c r="E164">
        <v>115.818712449</v>
      </c>
      <c r="F164">
        <v>1.321</v>
      </c>
      <c r="G164">
        <v>0</v>
      </c>
      <c r="H164" s="30">
        <f t="shared" si="28"/>
        <v>5.2228895947337151</v>
      </c>
      <c r="I164" s="31">
        <f t="shared" si="29"/>
        <v>322.01241218908712</v>
      </c>
      <c r="J164" t="b">
        <f t="shared" si="30"/>
        <v>1</v>
      </c>
      <c r="K164" t="b">
        <f t="shared" si="31"/>
        <v>0</v>
      </c>
      <c r="L164" t="b">
        <f t="shared" si="32"/>
        <v>0</v>
      </c>
      <c r="M164" t="b">
        <f t="shared" si="33"/>
        <v>1</v>
      </c>
      <c r="N164" t="b">
        <f t="shared" si="34"/>
        <v>0</v>
      </c>
      <c r="O164">
        <f t="shared" si="38"/>
        <v>5</v>
      </c>
      <c r="P164" s="31">
        <f t="shared" si="35"/>
        <v>774.62238951120526</v>
      </c>
      <c r="Q164" t="str">
        <f t="shared" si="36"/>
        <v>WT</v>
      </c>
      <c r="R164" s="32"/>
      <c r="S164" t="str">
        <f t="shared" si="37"/>
        <v>WT</v>
      </c>
    </row>
    <row r="165" spans="1:19" x14ac:dyDescent="0.2">
      <c r="A165" t="s">
        <v>601</v>
      </c>
      <c r="B165" s="29">
        <f t="shared" si="26"/>
        <v>45904.357712041208</v>
      </c>
      <c r="C165" s="29">
        <f t="shared" si="27"/>
        <v>45904.691045374544</v>
      </c>
      <c r="D165">
        <v>-31.979549733999999</v>
      </c>
      <c r="E165">
        <v>115.81868165500001</v>
      </c>
      <c r="F165">
        <v>1.304</v>
      </c>
      <c r="G165">
        <v>0</v>
      </c>
      <c r="H165" s="30">
        <f t="shared" si="28"/>
        <v>5.1790009019896388</v>
      </c>
      <c r="I165" s="31">
        <f t="shared" si="29"/>
        <v>323.41913227807225</v>
      </c>
      <c r="J165" t="b">
        <f t="shared" si="30"/>
        <v>1</v>
      </c>
      <c r="K165" t="b">
        <f t="shared" si="31"/>
        <v>0</v>
      </c>
      <c r="L165" t="b">
        <f t="shared" si="32"/>
        <v>0</v>
      </c>
      <c r="M165" t="b">
        <f t="shared" si="33"/>
        <v>1</v>
      </c>
      <c r="N165" t="b">
        <f t="shared" si="34"/>
        <v>0</v>
      </c>
      <c r="O165">
        <f t="shared" si="38"/>
        <v>5</v>
      </c>
      <c r="P165" s="31">
        <f t="shared" si="35"/>
        <v>774.62238951120526</v>
      </c>
      <c r="Q165" t="str">
        <f t="shared" si="36"/>
        <v>WT</v>
      </c>
      <c r="R165" s="32"/>
      <c r="S165" t="str">
        <f t="shared" si="37"/>
        <v>WT</v>
      </c>
    </row>
    <row r="166" spans="1:19" x14ac:dyDescent="0.2">
      <c r="A166" t="s">
        <v>602</v>
      </c>
      <c r="B166" s="29">
        <f t="shared" si="26"/>
        <v>45904.357771983348</v>
      </c>
      <c r="C166" s="29">
        <f t="shared" si="27"/>
        <v>45904.691105316684</v>
      </c>
      <c r="D166">
        <v>-31.979501687999999</v>
      </c>
      <c r="E166">
        <v>115.81863703400001</v>
      </c>
      <c r="F166">
        <v>1.3129999999999999</v>
      </c>
      <c r="G166">
        <v>0</v>
      </c>
      <c r="H166" s="30">
        <f t="shared" si="28"/>
        <v>5.1824559224769473</v>
      </c>
      <c r="I166" s="31">
        <f t="shared" si="29"/>
        <v>323.43252140621922</v>
      </c>
      <c r="J166" t="b">
        <f t="shared" si="30"/>
        <v>1</v>
      </c>
      <c r="K166" t="b">
        <f t="shared" si="31"/>
        <v>0</v>
      </c>
      <c r="L166" t="b">
        <f t="shared" si="32"/>
        <v>0</v>
      </c>
      <c r="M166" t="b">
        <f t="shared" si="33"/>
        <v>1</v>
      </c>
      <c r="N166" t="b">
        <f t="shared" si="34"/>
        <v>0</v>
      </c>
      <c r="O166">
        <f t="shared" si="38"/>
        <v>5</v>
      </c>
      <c r="P166" s="31">
        <f t="shared" si="35"/>
        <v>774.62238951120526</v>
      </c>
      <c r="Q166" t="str">
        <f t="shared" si="36"/>
        <v>WT</v>
      </c>
      <c r="R166" s="32"/>
      <c r="S166" t="str">
        <f t="shared" si="37"/>
        <v>WT</v>
      </c>
    </row>
    <row r="167" spans="1:19" x14ac:dyDescent="0.2">
      <c r="A167" t="s">
        <v>603</v>
      </c>
      <c r="B167" s="29">
        <f t="shared" si="26"/>
        <v>45904.357831965477</v>
      </c>
      <c r="C167" s="29">
        <f t="shared" si="27"/>
        <v>45904.691165298813</v>
      </c>
      <c r="D167">
        <v>-31.979454464</v>
      </c>
      <c r="E167">
        <v>115.818593389</v>
      </c>
      <c r="F167">
        <v>1.2869999999999999</v>
      </c>
      <c r="G167">
        <v>0</v>
      </c>
      <c r="H167" s="30">
        <f t="shared" si="28"/>
        <v>5.1996870199218392</v>
      </c>
      <c r="I167" s="31">
        <f t="shared" si="29"/>
        <v>323.60033548326544</v>
      </c>
      <c r="J167" t="b">
        <f t="shared" si="30"/>
        <v>1</v>
      </c>
      <c r="K167" t="b">
        <f t="shared" si="31"/>
        <v>0</v>
      </c>
      <c r="L167" t="b">
        <f t="shared" si="32"/>
        <v>0</v>
      </c>
      <c r="M167" t="b">
        <f t="shared" si="33"/>
        <v>1</v>
      </c>
      <c r="N167" t="b">
        <f t="shared" si="34"/>
        <v>0</v>
      </c>
      <c r="O167">
        <f t="shared" si="38"/>
        <v>5</v>
      </c>
      <c r="P167" s="31">
        <f t="shared" si="35"/>
        <v>774.62238951120526</v>
      </c>
      <c r="Q167" t="str">
        <f t="shared" si="36"/>
        <v>WT</v>
      </c>
      <c r="R167" s="32"/>
      <c r="S167" t="str">
        <f t="shared" si="37"/>
        <v>WT</v>
      </c>
    </row>
    <row r="168" spans="1:19" x14ac:dyDescent="0.2">
      <c r="A168" t="s">
        <v>604</v>
      </c>
      <c r="B168" s="29">
        <f t="shared" si="26"/>
        <v>45904.35789214704</v>
      </c>
      <c r="C168" s="29">
        <f t="shared" si="27"/>
        <v>45904.691225480376</v>
      </c>
      <c r="D168">
        <v>-31.979411770999999</v>
      </c>
      <c r="E168">
        <v>115.818550315</v>
      </c>
      <c r="F168">
        <v>1.202</v>
      </c>
      <c r="G168">
        <v>0</v>
      </c>
      <c r="H168" s="30">
        <f t="shared" si="28"/>
        <v>5.0090089906007051</v>
      </c>
      <c r="I168" s="31">
        <f t="shared" si="29"/>
        <v>323.61369151145755</v>
      </c>
      <c r="J168" t="b">
        <f t="shared" si="30"/>
        <v>1</v>
      </c>
      <c r="K168" t="b">
        <f t="shared" si="31"/>
        <v>0</v>
      </c>
      <c r="L168" t="b">
        <f t="shared" si="32"/>
        <v>0</v>
      </c>
      <c r="M168" t="b">
        <f t="shared" si="33"/>
        <v>1</v>
      </c>
      <c r="N168" t="b">
        <f t="shared" si="34"/>
        <v>0</v>
      </c>
      <c r="O168">
        <f t="shared" si="38"/>
        <v>5</v>
      </c>
      <c r="P168" s="31">
        <f t="shared" si="35"/>
        <v>774.62238951120526</v>
      </c>
      <c r="Q168" t="str">
        <f t="shared" si="36"/>
        <v>WT</v>
      </c>
      <c r="R168" s="32"/>
      <c r="S168" t="str">
        <f t="shared" si="37"/>
        <v>WT</v>
      </c>
    </row>
    <row r="169" spans="1:19" x14ac:dyDescent="0.2">
      <c r="A169" t="s">
        <v>605</v>
      </c>
      <c r="B169" s="29">
        <f t="shared" si="26"/>
        <v>45904.357950121681</v>
      </c>
      <c r="C169" s="29">
        <f t="shared" si="27"/>
        <v>45904.691283455017</v>
      </c>
      <c r="D169">
        <v>-31.979376552000002</v>
      </c>
      <c r="E169">
        <v>115.818508184</v>
      </c>
      <c r="F169">
        <v>1.1140000000000001</v>
      </c>
      <c r="G169">
        <v>0</v>
      </c>
      <c r="H169" s="30">
        <f t="shared" si="28"/>
        <v>5.1898167002946138</v>
      </c>
      <c r="I169" s="31">
        <f t="shared" si="29"/>
        <v>323.25437330997516</v>
      </c>
      <c r="J169" t="b">
        <f t="shared" si="30"/>
        <v>1</v>
      </c>
      <c r="K169" t="b">
        <f t="shared" si="31"/>
        <v>0</v>
      </c>
      <c r="L169" t="b">
        <f t="shared" si="32"/>
        <v>0</v>
      </c>
      <c r="M169" t="b">
        <f t="shared" si="33"/>
        <v>1</v>
      </c>
      <c r="N169" t="b">
        <f t="shared" si="34"/>
        <v>0</v>
      </c>
      <c r="O169">
        <f t="shared" si="38"/>
        <v>5</v>
      </c>
      <c r="P169" s="31">
        <f t="shared" si="35"/>
        <v>774.62238951120526</v>
      </c>
      <c r="Q169" t="str">
        <f t="shared" si="36"/>
        <v>WT</v>
      </c>
      <c r="R169" s="32"/>
      <c r="S169" t="str">
        <f t="shared" si="37"/>
        <v>WT</v>
      </c>
    </row>
    <row r="170" spans="1:19" x14ac:dyDescent="0.2">
      <c r="A170" t="s">
        <v>606</v>
      </c>
      <c r="B170" s="29">
        <f t="shared" si="26"/>
        <v>45904.358010189004</v>
      </c>
      <c r="C170" s="29">
        <f t="shared" si="27"/>
        <v>45904.69134352234</v>
      </c>
      <c r="D170">
        <v>-31.979348829999999</v>
      </c>
      <c r="E170">
        <v>115.818459807</v>
      </c>
      <c r="F170">
        <v>1.0609999999999999</v>
      </c>
      <c r="G170">
        <v>0</v>
      </c>
      <c r="H170" s="30">
        <f t="shared" si="28"/>
        <v>5.0058041699230671</v>
      </c>
      <c r="I170" s="31">
        <f t="shared" si="29"/>
        <v>321.99096834269216</v>
      </c>
      <c r="J170" t="b">
        <f t="shared" si="30"/>
        <v>1</v>
      </c>
      <c r="K170" t="b">
        <f t="shared" si="31"/>
        <v>0</v>
      </c>
      <c r="L170" t="b">
        <f t="shared" si="32"/>
        <v>0</v>
      </c>
      <c r="M170" t="b">
        <f t="shared" si="33"/>
        <v>1</v>
      </c>
      <c r="N170" t="b">
        <f t="shared" si="34"/>
        <v>0</v>
      </c>
      <c r="O170">
        <f t="shared" si="38"/>
        <v>5</v>
      </c>
      <c r="P170" s="31">
        <f t="shared" si="35"/>
        <v>774.62238951120526</v>
      </c>
      <c r="Q170" t="str">
        <f t="shared" si="36"/>
        <v>WT</v>
      </c>
      <c r="R170" s="32"/>
      <c r="S170" t="str">
        <f t="shared" si="37"/>
        <v>WT</v>
      </c>
    </row>
    <row r="171" spans="1:19" x14ac:dyDescent="0.2">
      <c r="A171" t="s">
        <v>607</v>
      </c>
      <c r="B171" s="29">
        <f t="shared" si="26"/>
        <v>45904.358068126552</v>
      </c>
      <c r="C171" s="29">
        <f t="shared" si="27"/>
        <v>45904.691401459888</v>
      </c>
      <c r="D171">
        <v>-31.979323485999998</v>
      </c>
      <c r="E171">
        <v>115.81841031800001</v>
      </c>
      <c r="F171">
        <v>1.089</v>
      </c>
      <c r="G171">
        <v>0</v>
      </c>
      <c r="H171" s="30">
        <f t="shared" si="28"/>
        <v>5.224861647002399</v>
      </c>
      <c r="I171" s="31">
        <f t="shared" si="29"/>
        <v>320.5577388480188</v>
      </c>
      <c r="J171" t="b">
        <f t="shared" si="30"/>
        <v>1</v>
      </c>
      <c r="K171" t="b">
        <f t="shared" si="31"/>
        <v>0</v>
      </c>
      <c r="L171" t="b">
        <f t="shared" si="32"/>
        <v>0</v>
      </c>
      <c r="M171" t="b">
        <f t="shared" si="33"/>
        <v>1</v>
      </c>
      <c r="N171" t="b">
        <f t="shared" si="34"/>
        <v>0</v>
      </c>
      <c r="O171">
        <f t="shared" si="38"/>
        <v>5</v>
      </c>
      <c r="P171" s="31">
        <f t="shared" si="35"/>
        <v>774.62238951120526</v>
      </c>
      <c r="Q171" t="str">
        <f t="shared" si="36"/>
        <v>WT</v>
      </c>
      <c r="R171" s="32"/>
      <c r="S171" t="str">
        <f t="shared" si="37"/>
        <v>WT</v>
      </c>
    </row>
    <row r="172" spans="1:19" x14ac:dyDescent="0.2">
      <c r="A172" t="s">
        <v>608</v>
      </c>
      <c r="B172" s="29">
        <f t="shared" si="26"/>
        <v>45904.358128599488</v>
      </c>
      <c r="C172" s="29">
        <f t="shared" si="27"/>
        <v>45904.691461932824</v>
      </c>
      <c r="D172">
        <v>-31.979293690999999</v>
      </c>
      <c r="E172">
        <v>115.818362063</v>
      </c>
      <c r="F172">
        <v>1.077</v>
      </c>
      <c r="G172">
        <v>0</v>
      </c>
      <c r="H172" s="30">
        <f t="shared" si="28"/>
        <v>5.1894552307203412</v>
      </c>
      <c r="I172" s="31">
        <f t="shared" si="29"/>
        <v>319.64385773887091</v>
      </c>
      <c r="J172" t="b">
        <f t="shared" si="30"/>
        <v>1</v>
      </c>
      <c r="K172" t="b">
        <f t="shared" si="31"/>
        <v>0</v>
      </c>
      <c r="L172" t="b">
        <f t="shared" si="32"/>
        <v>0</v>
      </c>
      <c r="M172" t="b">
        <f t="shared" si="33"/>
        <v>1</v>
      </c>
      <c r="N172" t="b">
        <f t="shared" si="34"/>
        <v>0</v>
      </c>
      <c r="O172">
        <f t="shared" si="38"/>
        <v>5</v>
      </c>
      <c r="P172" s="31">
        <f t="shared" si="35"/>
        <v>774.62238951120526</v>
      </c>
      <c r="Q172" t="str">
        <f t="shared" si="36"/>
        <v>WT</v>
      </c>
      <c r="R172" s="32"/>
      <c r="S172" t="str">
        <f t="shared" si="37"/>
        <v>WT</v>
      </c>
    </row>
    <row r="173" spans="1:19" x14ac:dyDescent="0.2">
      <c r="A173" t="s">
        <v>609</v>
      </c>
      <c r="B173" s="29">
        <f t="shared" si="26"/>
        <v>45904.358188662627</v>
      </c>
      <c r="C173" s="29">
        <f t="shared" si="27"/>
        <v>45904.691521995963</v>
      </c>
      <c r="D173">
        <v>-31.979257624999999</v>
      </c>
      <c r="E173">
        <v>115.818320274</v>
      </c>
      <c r="F173">
        <v>1.0840000000000001</v>
      </c>
      <c r="G173">
        <v>0</v>
      </c>
      <c r="H173" s="30">
        <f t="shared" si="28"/>
        <v>5.2135617937892675</v>
      </c>
      <c r="I173" s="31">
        <f t="shared" si="29"/>
        <v>319.7521041433568</v>
      </c>
      <c r="J173" t="b">
        <f t="shared" si="30"/>
        <v>1</v>
      </c>
      <c r="K173" t="b">
        <f t="shared" si="31"/>
        <v>0</v>
      </c>
      <c r="L173" t="b">
        <f t="shared" si="32"/>
        <v>0</v>
      </c>
      <c r="M173" t="b">
        <f t="shared" si="33"/>
        <v>1</v>
      </c>
      <c r="N173" t="b">
        <f t="shared" si="34"/>
        <v>0</v>
      </c>
      <c r="O173">
        <f t="shared" si="38"/>
        <v>5</v>
      </c>
      <c r="P173" s="31">
        <f t="shared" si="35"/>
        <v>774.62238951120526</v>
      </c>
      <c r="Q173" t="str">
        <f t="shared" si="36"/>
        <v>WT</v>
      </c>
      <c r="R173" s="32"/>
      <c r="S173" t="str">
        <f t="shared" si="37"/>
        <v>WT</v>
      </c>
    </row>
    <row r="174" spans="1:19" x14ac:dyDescent="0.2">
      <c r="A174" t="s">
        <v>610</v>
      </c>
      <c r="B174" s="29">
        <f t="shared" si="26"/>
        <v>45904.358249004777</v>
      </c>
      <c r="C174" s="29">
        <f t="shared" si="27"/>
        <v>45904.691582338113</v>
      </c>
      <c r="D174">
        <v>-31.979226728</v>
      </c>
      <c r="E174">
        <v>115.818272005</v>
      </c>
      <c r="F174">
        <v>1.0940000000000001</v>
      </c>
      <c r="G174">
        <v>0</v>
      </c>
      <c r="H174" s="30">
        <f t="shared" si="28"/>
        <v>5.1571341929957271</v>
      </c>
      <c r="I174" s="31">
        <f t="shared" si="29"/>
        <v>319.12207578259262</v>
      </c>
      <c r="J174" t="b">
        <f t="shared" si="30"/>
        <v>1</v>
      </c>
      <c r="K174" t="b">
        <f t="shared" si="31"/>
        <v>0</v>
      </c>
      <c r="L174" t="b">
        <f t="shared" si="32"/>
        <v>0</v>
      </c>
      <c r="M174" t="b">
        <f t="shared" si="33"/>
        <v>1</v>
      </c>
      <c r="N174" t="b">
        <f t="shared" si="34"/>
        <v>0</v>
      </c>
      <c r="O174">
        <f t="shared" si="38"/>
        <v>5</v>
      </c>
      <c r="P174" s="31">
        <f t="shared" si="35"/>
        <v>774.62238951120526</v>
      </c>
      <c r="Q174" t="str">
        <f t="shared" si="36"/>
        <v>WT</v>
      </c>
      <c r="R174" s="32"/>
      <c r="S174" t="str">
        <f t="shared" si="37"/>
        <v>WT</v>
      </c>
    </row>
    <row r="175" spans="1:19" x14ac:dyDescent="0.2">
      <c r="A175" t="s">
        <v>611</v>
      </c>
      <c r="B175" s="29">
        <f t="shared" si="26"/>
        <v>45904.358308693831</v>
      </c>
      <c r="C175" s="29">
        <f t="shared" si="27"/>
        <v>45904.691642027166</v>
      </c>
      <c r="D175">
        <v>-31.979221846000002</v>
      </c>
      <c r="E175">
        <v>115.81821992099999</v>
      </c>
      <c r="F175">
        <v>0.95799999999999996</v>
      </c>
      <c r="G175">
        <v>0</v>
      </c>
      <c r="H175" s="30">
        <f t="shared" si="28"/>
        <v>5.019204318523407</v>
      </c>
      <c r="I175" s="31">
        <f t="shared" si="29"/>
        <v>316.20248905064142</v>
      </c>
      <c r="J175" t="b">
        <f t="shared" si="30"/>
        <v>1</v>
      </c>
      <c r="K175" t="b">
        <f t="shared" si="31"/>
        <v>0</v>
      </c>
      <c r="L175" t="b">
        <f t="shared" si="32"/>
        <v>0</v>
      </c>
      <c r="M175" t="b">
        <f t="shared" si="33"/>
        <v>1</v>
      </c>
      <c r="N175" t="b">
        <f t="shared" si="34"/>
        <v>0</v>
      </c>
      <c r="O175">
        <f t="shared" si="38"/>
        <v>5</v>
      </c>
      <c r="P175" s="31">
        <f t="shared" si="35"/>
        <v>774.62238951120526</v>
      </c>
      <c r="Q175" t="str">
        <f t="shared" si="36"/>
        <v>WT</v>
      </c>
      <c r="R175" s="32"/>
      <c r="S175" t="str">
        <f t="shared" si="37"/>
        <v>WT</v>
      </c>
    </row>
    <row r="176" spans="1:19" x14ac:dyDescent="0.2">
      <c r="A176" t="s">
        <v>612</v>
      </c>
      <c r="B176" s="29">
        <f t="shared" si="26"/>
        <v>45904.358366786473</v>
      </c>
      <c r="C176" s="29">
        <f t="shared" si="27"/>
        <v>45904.691700119809</v>
      </c>
      <c r="D176">
        <v>-31.979218375999999</v>
      </c>
      <c r="E176">
        <v>115.818201289</v>
      </c>
      <c r="F176">
        <v>0.35799999999999998</v>
      </c>
      <c r="G176">
        <v>0</v>
      </c>
      <c r="H176" s="30">
        <f t="shared" si="28"/>
        <v>5.1923312712460756</v>
      </c>
      <c r="I176" s="31">
        <f t="shared" si="29"/>
        <v>315.31301121636812</v>
      </c>
      <c r="J176" t="b">
        <f t="shared" si="30"/>
        <v>1</v>
      </c>
      <c r="K176" t="b">
        <f t="shared" si="31"/>
        <v>0</v>
      </c>
      <c r="L176" t="b">
        <f t="shared" si="32"/>
        <v>0</v>
      </c>
      <c r="M176" t="b">
        <f t="shared" si="33"/>
        <v>1</v>
      </c>
      <c r="N176" t="b">
        <f t="shared" si="34"/>
        <v>0</v>
      </c>
      <c r="O176">
        <f t="shared" si="38"/>
        <v>5</v>
      </c>
      <c r="P176" s="31">
        <f t="shared" si="35"/>
        <v>774.62238951120526</v>
      </c>
      <c r="Q176" t="str">
        <f t="shared" si="36"/>
        <v>WT</v>
      </c>
      <c r="R176" s="32"/>
      <c r="S176" t="str">
        <f t="shared" si="37"/>
        <v>WT</v>
      </c>
    </row>
    <row r="177" spans="1:19" x14ac:dyDescent="0.2">
      <c r="A177" t="s">
        <v>613</v>
      </c>
      <c r="B177" s="29">
        <f t="shared" si="26"/>
        <v>45904.3584268829</v>
      </c>
      <c r="C177" s="29">
        <f t="shared" si="27"/>
        <v>45904.691760216236</v>
      </c>
      <c r="D177">
        <v>-31.979205864000001</v>
      </c>
      <c r="E177">
        <v>115.818191399</v>
      </c>
      <c r="F177">
        <v>0.32300000000000001</v>
      </c>
      <c r="G177">
        <v>0</v>
      </c>
      <c r="H177" s="30">
        <f t="shared" si="28"/>
        <v>5.0064504146575928</v>
      </c>
      <c r="I177" s="31">
        <f t="shared" si="29"/>
        <v>315.73062278528846</v>
      </c>
      <c r="J177" t="b">
        <f t="shared" si="30"/>
        <v>1</v>
      </c>
      <c r="K177" t="b">
        <f t="shared" si="31"/>
        <v>0</v>
      </c>
      <c r="L177" t="b">
        <f t="shared" si="32"/>
        <v>0</v>
      </c>
      <c r="M177" t="b">
        <f t="shared" si="33"/>
        <v>1</v>
      </c>
      <c r="N177" t="b">
        <f t="shared" si="34"/>
        <v>0</v>
      </c>
      <c r="O177">
        <f t="shared" si="38"/>
        <v>5</v>
      </c>
      <c r="P177" s="31">
        <f t="shared" si="35"/>
        <v>774.62238951120526</v>
      </c>
      <c r="Q177" t="str">
        <f t="shared" si="36"/>
        <v>WT</v>
      </c>
      <c r="R177" s="32"/>
      <c r="S177" t="str">
        <f t="shared" si="37"/>
        <v>WT</v>
      </c>
    </row>
    <row r="178" spans="1:19" x14ac:dyDescent="0.2">
      <c r="A178" t="s">
        <v>614</v>
      </c>
      <c r="B178" s="29">
        <f t="shared" si="26"/>
        <v>45904.358484827928</v>
      </c>
      <c r="C178" s="29">
        <f t="shared" si="27"/>
        <v>45904.691818161264</v>
      </c>
      <c r="D178">
        <v>-31.979210475999999</v>
      </c>
      <c r="E178">
        <v>115.818213676</v>
      </c>
      <c r="F178">
        <v>0.432</v>
      </c>
      <c r="G178">
        <v>0</v>
      </c>
      <c r="H178" s="30">
        <f t="shared" si="28"/>
        <v>5.2225683582946658</v>
      </c>
      <c r="I178" s="31">
        <f t="shared" si="29"/>
        <v>316.7470760985828</v>
      </c>
      <c r="J178" t="b">
        <f t="shared" si="30"/>
        <v>1</v>
      </c>
      <c r="K178" t="b">
        <f t="shared" si="31"/>
        <v>0</v>
      </c>
      <c r="L178" t="b">
        <f t="shared" si="32"/>
        <v>0</v>
      </c>
      <c r="M178" t="b">
        <f t="shared" si="33"/>
        <v>1</v>
      </c>
      <c r="N178" t="b">
        <f t="shared" si="34"/>
        <v>0</v>
      </c>
      <c r="O178">
        <f t="shared" si="38"/>
        <v>5</v>
      </c>
      <c r="P178" s="31">
        <f t="shared" si="35"/>
        <v>774.62238951120526</v>
      </c>
      <c r="Q178" t="str">
        <f t="shared" si="36"/>
        <v>WT</v>
      </c>
      <c r="R178" s="32"/>
      <c r="S178" t="str">
        <f t="shared" si="37"/>
        <v>WT</v>
      </c>
    </row>
    <row r="179" spans="1:19" x14ac:dyDescent="0.2">
      <c r="A179" t="s">
        <v>615</v>
      </c>
      <c r="B179" s="29">
        <f t="shared" si="26"/>
        <v>45904.358545274321</v>
      </c>
      <c r="C179" s="29">
        <f t="shared" si="27"/>
        <v>45904.691878607657</v>
      </c>
      <c r="D179">
        <v>-31.979200184</v>
      </c>
      <c r="E179">
        <v>115.818252777</v>
      </c>
      <c r="F179">
        <v>0.73899999999999999</v>
      </c>
      <c r="G179">
        <v>0</v>
      </c>
      <c r="H179" s="30">
        <f t="shared" si="28"/>
        <v>5.1901109050959349</v>
      </c>
      <c r="I179" s="31">
        <f t="shared" si="29"/>
        <v>320.06868363080832</v>
      </c>
      <c r="J179" t="b">
        <f t="shared" si="30"/>
        <v>1</v>
      </c>
      <c r="K179" t="b">
        <f t="shared" si="31"/>
        <v>0</v>
      </c>
      <c r="L179" t="b">
        <f t="shared" si="32"/>
        <v>0</v>
      </c>
      <c r="M179" t="b">
        <f t="shared" si="33"/>
        <v>1</v>
      </c>
      <c r="N179" t="b">
        <f t="shared" si="34"/>
        <v>0</v>
      </c>
      <c r="O179">
        <f t="shared" si="38"/>
        <v>5</v>
      </c>
      <c r="P179" s="31">
        <f t="shared" si="35"/>
        <v>774.62238951120526</v>
      </c>
      <c r="Q179" t="str">
        <f t="shared" si="36"/>
        <v>WT</v>
      </c>
      <c r="R179" s="32"/>
      <c r="S179" t="str">
        <f t="shared" si="37"/>
        <v>WT</v>
      </c>
    </row>
    <row r="180" spans="1:19" x14ac:dyDescent="0.2">
      <c r="A180" t="s">
        <v>616</v>
      </c>
      <c r="B180" s="29">
        <f t="shared" si="26"/>
        <v>45904.358605345049</v>
      </c>
      <c r="C180" s="29">
        <f t="shared" si="27"/>
        <v>45904.691938678385</v>
      </c>
      <c r="D180">
        <v>-31.979194562</v>
      </c>
      <c r="E180">
        <v>115.81826012400001</v>
      </c>
      <c r="F180">
        <v>0.18</v>
      </c>
      <c r="G180">
        <v>0</v>
      </c>
      <c r="H180" s="30">
        <f t="shared" si="28"/>
        <v>5.1950646098703146</v>
      </c>
      <c r="I180" s="31">
        <f t="shared" si="29"/>
        <v>320.99740501724978</v>
      </c>
      <c r="J180" t="b">
        <f t="shared" si="30"/>
        <v>1</v>
      </c>
      <c r="K180" t="b">
        <f t="shared" si="31"/>
        <v>1</v>
      </c>
      <c r="L180" t="b">
        <f t="shared" si="32"/>
        <v>0</v>
      </c>
      <c r="M180" t="b">
        <f t="shared" si="33"/>
        <v>1</v>
      </c>
      <c r="N180" t="b">
        <f t="shared" si="34"/>
        <v>0</v>
      </c>
      <c r="O180">
        <f t="shared" si="38"/>
        <v>6</v>
      </c>
      <c r="P180" s="31">
        <f t="shared" si="35"/>
        <v>5.1950646098703146</v>
      </c>
      <c r="Q180" t="str">
        <f t="shared" si="36"/>
        <v>WT</v>
      </c>
      <c r="R180" s="32"/>
      <c r="S180" t="str">
        <f t="shared" si="37"/>
        <v>WT</v>
      </c>
    </row>
    <row r="181" spans="1:19" x14ac:dyDescent="0.2">
      <c r="A181" t="s">
        <v>617</v>
      </c>
      <c r="B181" s="29">
        <f t="shared" si="26"/>
        <v>45904.358665473112</v>
      </c>
      <c r="C181" s="29">
        <f t="shared" si="27"/>
        <v>45904.691998806447</v>
      </c>
      <c r="D181">
        <v>-31.979242187000001</v>
      </c>
      <c r="E181">
        <v>115.818278789</v>
      </c>
      <c r="F181">
        <v>1.0740000000000001</v>
      </c>
      <c r="G181">
        <v>0</v>
      </c>
      <c r="H181" s="30">
        <f t="shared" si="28"/>
        <v>5.188489006832242</v>
      </c>
      <c r="I181" s="31">
        <f t="shared" si="29"/>
        <v>318.30185850003386</v>
      </c>
      <c r="J181" t="b">
        <f t="shared" si="30"/>
        <v>1</v>
      </c>
      <c r="K181" t="b">
        <f t="shared" si="31"/>
        <v>0</v>
      </c>
      <c r="L181" t="b">
        <f t="shared" si="32"/>
        <v>0</v>
      </c>
      <c r="M181" t="b">
        <f t="shared" si="33"/>
        <v>1</v>
      </c>
      <c r="N181" t="b">
        <f t="shared" si="34"/>
        <v>0</v>
      </c>
      <c r="O181">
        <f t="shared" si="38"/>
        <v>7</v>
      </c>
      <c r="P181" s="31">
        <f t="shared" si="35"/>
        <v>502.62373031582683</v>
      </c>
      <c r="Q181" t="str">
        <f t="shared" si="36"/>
        <v>WT</v>
      </c>
      <c r="R181" s="32"/>
      <c r="S181" t="str">
        <f t="shared" si="37"/>
        <v>WT</v>
      </c>
    </row>
    <row r="182" spans="1:19" x14ac:dyDescent="0.2">
      <c r="A182" t="s">
        <v>618</v>
      </c>
      <c r="B182" s="29">
        <f t="shared" si="26"/>
        <v>45904.358725525068</v>
      </c>
      <c r="C182" s="29">
        <f t="shared" si="27"/>
        <v>45904.692058858403</v>
      </c>
      <c r="D182">
        <v>-31.979289171000001</v>
      </c>
      <c r="E182">
        <v>115.81831903699999</v>
      </c>
      <c r="F182">
        <v>1.2450000000000001</v>
      </c>
      <c r="G182">
        <v>0</v>
      </c>
      <c r="H182" s="30">
        <f t="shared" si="28"/>
        <v>5.1871839445084333</v>
      </c>
      <c r="I182" s="31">
        <f t="shared" si="29"/>
        <v>317.1519274968627</v>
      </c>
      <c r="J182" t="b">
        <f t="shared" si="30"/>
        <v>1</v>
      </c>
      <c r="K182" t="b">
        <f t="shared" si="31"/>
        <v>0</v>
      </c>
      <c r="L182" t="b">
        <f t="shared" si="32"/>
        <v>0</v>
      </c>
      <c r="M182" t="b">
        <f t="shared" si="33"/>
        <v>1</v>
      </c>
      <c r="N182" t="b">
        <f t="shared" si="34"/>
        <v>0</v>
      </c>
      <c r="O182">
        <f t="shared" si="38"/>
        <v>7</v>
      </c>
      <c r="P182" s="31">
        <f t="shared" si="35"/>
        <v>502.62373031582683</v>
      </c>
      <c r="Q182" t="str">
        <f t="shared" si="36"/>
        <v>WT</v>
      </c>
      <c r="R182" s="32"/>
      <c r="S182" t="str">
        <f t="shared" si="37"/>
        <v>WT</v>
      </c>
    </row>
    <row r="183" spans="1:19" x14ac:dyDescent="0.2">
      <c r="A183" t="s">
        <v>619</v>
      </c>
      <c r="B183" s="29">
        <f t="shared" si="26"/>
        <v>45904.358785561919</v>
      </c>
      <c r="C183" s="29">
        <f t="shared" si="27"/>
        <v>45904.692118895255</v>
      </c>
      <c r="D183">
        <v>-31.979325929000002</v>
      </c>
      <c r="E183">
        <v>115.818376048</v>
      </c>
      <c r="F183">
        <v>1.302</v>
      </c>
      <c r="G183">
        <v>0</v>
      </c>
      <c r="H183" s="30">
        <f t="shared" si="28"/>
        <v>5.0184329738840461</v>
      </c>
      <c r="I183" s="31">
        <f t="shared" si="29"/>
        <v>318.05442723963051</v>
      </c>
      <c r="J183" t="b">
        <f t="shared" si="30"/>
        <v>1</v>
      </c>
      <c r="K183" t="b">
        <f t="shared" si="31"/>
        <v>0</v>
      </c>
      <c r="L183" t="b">
        <f t="shared" si="32"/>
        <v>0</v>
      </c>
      <c r="M183" t="b">
        <f t="shared" si="33"/>
        <v>1</v>
      </c>
      <c r="N183" t="b">
        <f t="shared" si="34"/>
        <v>0</v>
      </c>
      <c r="O183">
        <f t="shared" si="38"/>
        <v>7</v>
      </c>
      <c r="P183" s="31">
        <f t="shared" si="35"/>
        <v>502.62373031582683</v>
      </c>
      <c r="Q183" t="str">
        <f t="shared" si="36"/>
        <v>WT</v>
      </c>
      <c r="R183" s="32"/>
      <c r="S183" t="str">
        <f t="shared" si="37"/>
        <v>WT</v>
      </c>
    </row>
    <row r="184" spans="1:19" x14ac:dyDescent="0.2">
      <c r="A184" t="s">
        <v>620</v>
      </c>
      <c r="B184" s="29">
        <f t="shared" si="26"/>
        <v>45904.358843645634</v>
      </c>
      <c r="C184" s="29">
        <f t="shared" si="27"/>
        <v>45904.69217697897</v>
      </c>
      <c r="D184">
        <v>-31.979352425999998</v>
      </c>
      <c r="E184">
        <v>115.818432454</v>
      </c>
      <c r="F184">
        <v>1.212</v>
      </c>
      <c r="G184">
        <v>0</v>
      </c>
      <c r="H184" s="30">
        <f t="shared" si="28"/>
        <v>5.2234321134164929</v>
      </c>
      <c r="I184" s="31">
        <f t="shared" si="29"/>
        <v>319.83920373016684</v>
      </c>
      <c r="J184" t="b">
        <f t="shared" si="30"/>
        <v>1</v>
      </c>
      <c r="K184" t="b">
        <f t="shared" si="31"/>
        <v>0</v>
      </c>
      <c r="L184" t="b">
        <f t="shared" si="32"/>
        <v>0</v>
      </c>
      <c r="M184" t="b">
        <f t="shared" si="33"/>
        <v>1</v>
      </c>
      <c r="N184" t="b">
        <f t="shared" si="34"/>
        <v>0</v>
      </c>
      <c r="O184">
        <f t="shared" si="38"/>
        <v>7</v>
      </c>
      <c r="P184" s="31">
        <f t="shared" si="35"/>
        <v>502.62373031582683</v>
      </c>
      <c r="Q184" t="str">
        <f t="shared" si="36"/>
        <v>WT</v>
      </c>
      <c r="R184" s="32"/>
      <c r="S184" t="str">
        <f t="shared" si="37"/>
        <v>WT</v>
      </c>
    </row>
    <row r="185" spans="1:19" x14ac:dyDescent="0.2">
      <c r="A185" t="s">
        <v>621</v>
      </c>
      <c r="B185" s="29">
        <f t="shared" si="26"/>
        <v>45904.358904102024</v>
      </c>
      <c r="C185" s="29">
        <f t="shared" si="27"/>
        <v>45904.69223743536</v>
      </c>
      <c r="D185">
        <v>-31.979385533999999</v>
      </c>
      <c r="E185">
        <v>115.818492175</v>
      </c>
      <c r="F185">
        <v>1.288</v>
      </c>
      <c r="G185">
        <v>0</v>
      </c>
      <c r="H185" s="30">
        <f t="shared" si="28"/>
        <v>5.1816839491948485</v>
      </c>
      <c r="I185" s="31">
        <f t="shared" si="29"/>
        <v>321.46510945604797</v>
      </c>
      <c r="J185" t="b">
        <f t="shared" si="30"/>
        <v>1</v>
      </c>
      <c r="K185" t="b">
        <f t="shared" si="31"/>
        <v>0</v>
      </c>
      <c r="L185" t="b">
        <f t="shared" si="32"/>
        <v>0</v>
      </c>
      <c r="M185" t="b">
        <f t="shared" si="33"/>
        <v>1</v>
      </c>
      <c r="N185" t="b">
        <f t="shared" si="34"/>
        <v>0</v>
      </c>
      <c r="O185">
        <f t="shared" si="38"/>
        <v>7</v>
      </c>
      <c r="P185" s="31">
        <f t="shared" si="35"/>
        <v>502.62373031582683</v>
      </c>
      <c r="Q185" t="str">
        <f t="shared" si="36"/>
        <v>WT</v>
      </c>
      <c r="R185" s="32"/>
      <c r="S185" t="str">
        <f t="shared" si="37"/>
        <v>WT</v>
      </c>
    </row>
    <row r="186" spans="1:19" x14ac:dyDescent="0.2">
      <c r="A186" t="s">
        <v>622</v>
      </c>
      <c r="B186" s="29">
        <f t="shared" si="26"/>
        <v>45904.358964075218</v>
      </c>
      <c r="C186" s="29">
        <f t="shared" si="27"/>
        <v>45904.692297408554</v>
      </c>
      <c r="D186">
        <v>-31.979424494</v>
      </c>
      <c r="E186">
        <v>115.818547318</v>
      </c>
      <c r="F186">
        <v>1.306</v>
      </c>
      <c r="G186">
        <v>0</v>
      </c>
      <c r="H186" s="30">
        <f t="shared" si="28"/>
        <v>5.0056344363838434</v>
      </c>
      <c r="I186" s="31">
        <f t="shared" si="29"/>
        <v>322.46982360811319</v>
      </c>
      <c r="J186" t="b">
        <f t="shared" si="30"/>
        <v>1</v>
      </c>
      <c r="K186" t="b">
        <f t="shared" si="31"/>
        <v>0</v>
      </c>
      <c r="L186" t="b">
        <f t="shared" si="32"/>
        <v>0</v>
      </c>
      <c r="M186" t="b">
        <f t="shared" si="33"/>
        <v>1</v>
      </c>
      <c r="N186" t="b">
        <f t="shared" si="34"/>
        <v>0</v>
      </c>
      <c r="O186">
        <f t="shared" si="38"/>
        <v>7</v>
      </c>
      <c r="P186" s="31">
        <f t="shared" si="35"/>
        <v>502.62373031582683</v>
      </c>
      <c r="Q186" t="str">
        <f t="shared" si="36"/>
        <v>WT</v>
      </c>
      <c r="R186" s="32"/>
      <c r="S186" t="str">
        <f t="shared" si="37"/>
        <v>WT</v>
      </c>
    </row>
    <row r="187" spans="1:19" x14ac:dyDescent="0.2">
      <c r="A187" t="s">
        <v>623</v>
      </c>
      <c r="B187" s="29">
        <f t="shared" si="26"/>
        <v>45904.359022010802</v>
      </c>
      <c r="C187" s="29">
        <f t="shared" si="27"/>
        <v>45904.692355344137</v>
      </c>
      <c r="D187">
        <v>-31.979469461000001</v>
      </c>
      <c r="E187">
        <v>115.818602755</v>
      </c>
      <c r="F187">
        <v>1.4450000000000001</v>
      </c>
      <c r="G187">
        <v>0</v>
      </c>
      <c r="H187" s="30">
        <f t="shared" si="28"/>
        <v>5.1931598223745823</v>
      </c>
      <c r="I187" s="31">
        <f t="shared" si="29"/>
        <v>323.20634136247679</v>
      </c>
      <c r="J187" t="b">
        <f t="shared" si="30"/>
        <v>1</v>
      </c>
      <c r="K187" t="b">
        <f t="shared" si="31"/>
        <v>0</v>
      </c>
      <c r="L187" t="b">
        <f t="shared" si="32"/>
        <v>0</v>
      </c>
      <c r="M187" t="b">
        <f t="shared" si="33"/>
        <v>1</v>
      </c>
      <c r="N187" t="b">
        <f t="shared" si="34"/>
        <v>0</v>
      </c>
      <c r="O187">
        <f t="shared" si="38"/>
        <v>7</v>
      </c>
      <c r="P187" s="31">
        <f t="shared" si="35"/>
        <v>502.62373031582683</v>
      </c>
      <c r="Q187" t="str">
        <f t="shared" si="36"/>
        <v>WT</v>
      </c>
      <c r="R187" s="32"/>
      <c r="S187" t="str">
        <f t="shared" si="37"/>
        <v>WT</v>
      </c>
    </row>
    <row r="188" spans="1:19" x14ac:dyDescent="0.2">
      <c r="A188" t="s">
        <v>624</v>
      </c>
      <c r="B188" s="29">
        <f t="shared" si="26"/>
        <v>45904.359082116818</v>
      </c>
      <c r="C188" s="29">
        <f t="shared" si="27"/>
        <v>45904.692415450154</v>
      </c>
      <c r="D188">
        <v>-31.979522894999999</v>
      </c>
      <c r="E188">
        <v>115.818646105</v>
      </c>
      <c r="F188">
        <v>1.389</v>
      </c>
      <c r="G188">
        <v>0</v>
      </c>
      <c r="H188" s="30">
        <f t="shared" si="28"/>
        <v>5.1907470915466547</v>
      </c>
      <c r="I188" s="31">
        <f t="shared" si="29"/>
        <v>322.62440717614248</v>
      </c>
      <c r="J188" t="b">
        <f t="shared" si="30"/>
        <v>1</v>
      </c>
      <c r="K188" t="b">
        <f t="shared" si="31"/>
        <v>0</v>
      </c>
      <c r="L188" t="b">
        <f t="shared" si="32"/>
        <v>0</v>
      </c>
      <c r="M188" t="b">
        <f t="shared" si="33"/>
        <v>1</v>
      </c>
      <c r="N188" t="b">
        <f t="shared" si="34"/>
        <v>0</v>
      </c>
      <c r="O188">
        <f t="shared" si="38"/>
        <v>7</v>
      </c>
      <c r="P188" s="31">
        <f t="shared" si="35"/>
        <v>502.62373031582683</v>
      </c>
      <c r="Q188" t="str">
        <f t="shared" si="36"/>
        <v>WT</v>
      </c>
      <c r="R188" s="32"/>
      <c r="S188" t="str">
        <f t="shared" si="37"/>
        <v>WT</v>
      </c>
    </row>
    <row r="189" spans="1:19" x14ac:dyDescent="0.2">
      <c r="A189" t="s">
        <v>625</v>
      </c>
      <c r="B189" s="29">
        <f t="shared" si="26"/>
        <v>45904.35914219491</v>
      </c>
      <c r="C189" s="29">
        <f t="shared" si="27"/>
        <v>45904.692475528245</v>
      </c>
      <c r="D189">
        <v>-31.979575656000002</v>
      </c>
      <c r="E189">
        <v>115.818684836</v>
      </c>
      <c r="F189">
        <v>1.331</v>
      </c>
      <c r="G189">
        <v>0</v>
      </c>
      <c r="H189" s="30">
        <f t="shared" si="28"/>
        <v>5.0067817093804479</v>
      </c>
      <c r="I189" s="31">
        <f t="shared" si="29"/>
        <v>321.90154892261927</v>
      </c>
      <c r="J189" t="b">
        <f t="shared" si="30"/>
        <v>1</v>
      </c>
      <c r="K189" t="b">
        <f t="shared" si="31"/>
        <v>0</v>
      </c>
      <c r="L189" t="b">
        <f t="shared" si="32"/>
        <v>0</v>
      </c>
      <c r="M189" t="b">
        <f t="shared" si="33"/>
        <v>1</v>
      </c>
      <c r="N189" t="b">
        <f t="shared" si="34"/>
        <v>0</v>
      </c>
      <c r="O189">
        <f t="shared" si="38"/>
        <v>7</v>
      </c>
      <c r="P189" s="31">
        <f t="shared" si="35"/>
        <v>502.62373031582683</v>
      </c>
      <c r="Q189" t="str">
        <f t="shared" si="36"/>
        <v>WT</v>
      </c>
      <c r="R189" s="32"/>
      <c r="S189" t="str">
        <f t="shared" si="37"/>
        <v>WT</v>
      </c>
    </row>
    <row r="190" spans="1:19" x14ac:dyDescent="0.2">
      <c r="A190" t="s">
        <v>626</v>
      </c>
      <c r="B190" s="29">
        <f t="shared" si="26"/>
        <v>45904.359200143772</v>
      </c>
      <c r="C190" s="29">
        <f t="shared" si="27"/>
        <v>45904.692533477108</v>
      </c>
      <c r="D190">
        <v>-31.979625536</v>
      </c>
      <c r="E190">
        <v>115.818718176</v>
      </c>
      <c r="F190">
        <v>1.2729999999999999</v>
      </c>
      <c r="G190">
        <v>0</v>
      </c>
      <c r="H190" s="30">
        <f t="shared" si="28"/>
        <v>5.0074292114004493</v>
      </c>
      <c r="I190" s="31">
        <f t="shared" si="29"/>
        <v>321.10388866925007</v>
      </c>
      <c r="J190" t="b">
        <f t="shared" si="30"/>
        <v>1</v>
      </c>
      <c r="K190" t="b">
        <f t="shared" si="31"/>
        <v>0</v>
      </c>
      <c r="L190" t="b">
        <f t="shared" si="32"/>
        <v>0</v>
      </c>
      <c r="M190" t="b">
        <f t="shared" si="33"/>
        <v>1</v>
      </c>
      <c r="N190" t="b">
        <f t="shared" si="34"/>
        <v>0</v>
      </c>
      <c r="O190">
        <f t="shared" si="38"/>
        <v>7</v>
      </c>
      <c r="P190" s="31">
        <f t="shared" si="35"/>
        <v>502.62373031582683</v>
      </c>
      <c r="Q190" t="str">
        <f t="shared" si="36"/>
        <v>WT</v>
      </c>
      <c r="R190" s="32"/>
      <c r="S190" t="str">
        <f t="shared" si="37"/>
        <v>WT</v>
      </c>
    </row>
    <row r="191" spans="1:19" x14ac:dyDescent="0.2">
      <c r="A191" t="s">
        <v>627</v>
      </c>
      <c r="B191" s="29">
        <f t="shared" si="26"/>
        <v>45904.359258100128</v>
      </c>
      <c r="C191" s="29">
        <f t="shared" si="27"/>
        <v>45904.692591433464</v>
      </c>
      <c r="D191">
        <v>-31.979681971000002</v>
      </c>
      <c r="E191">
        <v>115.81874267800001</v>
      </c>
      <c r="F191">
        <v>1.335</v>
      </c>
      <c r="G191">
        <v>0</v>
      </c>
      <c r="H191" s="30">
        <f t="shared" si="28"/>
        <v>5.1905660424381495</v>
      </c>
      <c r="I191" s="31">
        <f t="shared" si="29"/>
        <v>319.33015061234596</v>
      </c>
      <c r="J191" t="b">
        <f t="shared" si="30"/>
        <v>1</v>
      </c>
      <c r="K191" t="b">
        <f t="shared" si="31"/>
        <v>0</v>
      </c>
      <c r="L191" t="b">
        <f t="shared" si="32"/>
        <v>0</v>
      </c>
      <c r="M191" t="b">
        <f t="shared" si="33"/>
        <v>1</v>
      </c>
      <c r="N191" t="b">
        <f t="shared" si="34"/>
        <v>0</v>
      </c>
      <c r="O191">
        <f t="shared" si="38"/>
        <v>7</v>
      </c>
      <c r="P191" s="31">
        <f t="shared" si="35"/>
        <v>502.62373031582683</v>
      </c>
      <c r="Q191" t="str">
        <f t="shared" si="36"/>
        <v>WT</v>
      </c>
      <c r="R191" s="32"/>
      <c r="S191" t="str">
        <f t="shared" si="37"/>
        <v>WT</v>
      </c>
    </row>
    <row r="192" spans="1:19" x14ac:dyDescent="0.2">
      <c r="A192" t="s">
        <v>628</v>
      </c>
      <c r="B192" s="29">
        <f t="shared" si="26"/>
        <v>45904.359318176124</v>
      </c>
      <c r="C192" s="29">
        <f t="shared" si="27"/>
        <v>45904.69265150946</v>
      </c>
      <c r="D192">
        <v>-31.979742367</v>
      </c>
      <c r="E192">
        <v>115.81875840399999</v>
      </c>
      <c r="F192">
        <v>1.325</v>
      </c>
      <c r="G192">
        <v>0</v>
      </c>
      <c r="H192" s="30">
        <f t="shared" si="28"/>
        <v>5.2227041451260448</v>
      </c>
      <c r="I192" s="31">
        <f t="shared" si="29"/>
        <v>316.75454409370946</v>
      </c>
      <c r="J192" t="b">
        <f t="shared" si="30"/>
        <v>1</v>
      </c>
      <c r="K192" t="b">
        <f t="shared" si="31"/>
        <v>0</v>
      </c>
      <c r="L192" t="b">
        <f t="shared" si="32"/>
        <v>0</v>
      </c>
      <c r="M192" t="b">
        <f t="shared" si="33"/>
        <v>1</v>
      </c>
      <c r="N192" t="b">
        <f t="shared" si="34"/>
        <v>0</v>
      </c>
      <c r="O192">
        <f t="shared" si="38"/>
        <v>7</v>
      </c>
      <c r="P192" s="31">
        <f t="shared" si="35"/>
        <v>502.62373031582683</v>
      </c>
      <c r="Q192" t="str">
        <f t="shared" si="36"/>
        <v>WT</v>
      </c>
      <c r="R192" s="32"/>
      <c r="S192" t="str">
        <f t="shared" si="37"/>
        <v>WT</v>
      </c>
    </row>
    <row r="193" spans="1:19" x14ac:dyDescent="0.2">
      <c r="A193" t="s">
        <v>629</v>
      </c>
      <c r="B193" s="29">
        <f t="shared" si="26"/>
        <v>45904.359378624089</v>
      </c>
      <c r="C193" s="29">
        <f t="shared" si="27"/>
        <v>45904.692711957425</v>
      </c>
      <c r="D193">
        <v>-31.979822347999999</v>
      </c>
      <c r="E193">
        <v>115.818760145</v>
      </c>
      <c r="F193">
        <v>1.7030000000000001</v>
      </c>
      <c r="G193">
        <v>0</v>
      </c>
      <c r="H193" s="30">
        <f t="shared" si="28"/>
        <v>5.1913895644247532</v>
      </c>
      <c r="I193" s="31">
        <f t="shared" si="29"/>
        <v>312.02375358879362</v>
      </c>
      <c r="J193" t="b">
        <f t="shared" si="30"/>
        <v>1</v>
      </c>
      <c r="K193" t="b">
        <f t="shared" si="31"/>
        <v>0</v>
      </c>
      <c r="L193" t="b">
        <f t="shared" si="32"/>
        <v>0</v>
      </c>
      <c r="M193" t="b">
        <f t="shared" si="33"/>
        <v>1</v>
      </c>
      <c r="N193" t="b">
        <f t="shared" si="34"/>
        <v>0</v>
      </c>
      <c r="O193">
        <f t="shared" si="38"/>
        <v>7</v>
      </c>
      <c r="P193" s="31">
        <f t="shared" si="35"/>
        <v>502.62373031582683</v>
      </c>
      <c r="Q193" t="str">
        <f t="shared" si="36"/>
        <v>WT</v>
      </c>
      <c r="R193" s="32"/>
      <c r="S193" t="str">
        <f t="shared" si="37"/>
        <v>WT</v>
      </c>
    </row>
    <row r="194" spans="1:19" x14ac:dyDescent="0.2">
      <c r="A194" t="s">
        <v>630</v>
      </c>
      <c r="B194" s="29">
        <f t="shared" ref="B194:B257" si="39">DATE(VALUE(LEFT(A194,4)),VALUE(MID(A194,6,2)),VALUE(MID(A194,9,2)))+TIME(VALUE(MID(A194,12,2)),VALUE(MID(A194,15,2)),VALUE(MID(A194,18,2)))+IFERROR(VALUE(MID(A194,21,6)),0)/86400000000</f>
        <v>45904.359438709616</v>
      </c>
      <c r="C194" s="29">
        <f t="shared" ref="C194:C257" si="40">B194+UTC_OFFSET_H/24</f>
        <v>45904.692772042952</v>
      </c>
      <c r="D194">
        <v>-31.979875892999999</v>
      </c>
      <c r="E194">
        <v>115.818766622</v>
      </c>
      <c r="F194">
        <v>1.153</v>
      </c>
      <c r="G194">
        <v>0</v>
      </c>
      <c r="H194" s="30">
        <f t="shared" ref="H194:H257" si="41">(B195-B194)*86400</f>
        <v>5.1904208259657025</v>
      </c>
      <c r="I194" s="31">
        <f t="shared" ref="I194:I257" si="42">2*6371000*ASIN(SQRT(SIN((RADIANS(D194)-RADIANS(DEPOT_LAT))/2)^2+COS(RADIANS(DEPOT_LAT))*COS(RADIANS(D194))*SIN((RADIANS(E194)-RADIANS(DEPOT_LON))/2)^2))</f>
        <v>309.38627070862719</v>
      </c>
      <c r="J194" t="b">
        <f t="shared" ref="J194:J257" si="43">AND(WEEKDAY(C194,2)&lt;=SERVICE_LAST_WEEKDAY,MOD(C194,1)&gt;=SERVICE_START,MOD(C194,1)&lt;SERVICE_END)</f>
        <v>1</v>
      </c>
      <c r="K194" t="b">
        <f t="shared" ref="K194:K257" si="44">F194&lt;SPEED_STOP_MPS</f>
        <v>0</v>
      </c>
      <c r="L194" t="b">
        <f t="shared" ref="L194:L257" si="45">I194&lt;=DEPOT_RADIUS_M</f>
        <v>0</v>
      </c>
      <c r="M194" t="b">
        <f t="shared" ref="M194:M257" si="46">G194&gt;=0</f>
        <v>1</v>
      </c>
      <c r="N194" t="b">
        <f t="shared" ref="N194:N257" si="47">H194&gt;MAX_GAP_S</f>
        <v>0</v>
      </c>
      <c r="O194">
        <f t="shared" si="38"/>
        <v>7</v>
      </c>
      <c r="P194" s="31">
        <f t="shared" ref="P194:P257" si="48">SUMIFS($H$2:$H$440,$O$2:$O$440,O194)</f>
        <v>502.62373031582683</v>
      </c>
      <c r="Q194" t="str">
        <f t="shared" ref="Q194:Q257" si="49">IF(NOT(J194),"UT",IF(N194,IF(L194,"SB","OD"),IF(AND(K194,L194,P194&gt;=STANDBY_DWELL_S),"SB",IF(AND(K194,NOT(M194)),"OD",IF(AND(K194,NOT(L194),P194&gt;=DELAY_DWELL_S),"OD","WT")))))</f>
        <v>WT</v>
      </c>
      <c r="R194" s="32"/>
      <c r="S194" t="str">
        <f t="shared" ref="S194:S257" si="50">IF(R194&lt;&gt;"",R194,Q194)</f>
        <v>WT</v>
      </c>
    </row>
    <row r="195" spans="1:19" x14ac:dyDescent="0.2">
      <c r="A195" t="s">
        <v>631</v>
      </c>
      <c r="B195" s="29">
        <f t="shared" si="39"/>
        <v>45904.359498783931</v>
      </c>
      <c r="C195" s="29">
        <f t="shared" si="40"/>
        <v>45904.692832117267</v>
      </c>
      <c r="D195">
        <v>-31.979935686000001</v>
      </c>
      <c r="E195">
        <v>115.818768998</v>
      </c>
      <c r="F195">
        <v>1.282</v>
      </c>
      <c r="G195">
        <v>0</v>
      </c>
      <c r="H195" s="30">
        <f t="shared" si="41"/>
        <v>5.2008518949151039</v>
      </c>
      <c r="I195" s="31">
        <f t="shared" si="42"/>
        <v>306.15724302118946</v>
      </c>
      <c r="J195" t="b">
        <f t="shared" si="43"/>
        <v>1</v>
      </c>
      <c r="K195" t="b">
        <f t="shared" si="44"/>
        <v>0</v>
      </c>
      <c r="L195" t="b">
        <f t="shared" si="45"/>
        <v>0</v>
      </c>
      <c r="M195" t="b">
        <f t="shared" si="46"/>
        <v>1</v>
      </c>
      <c r="N195" t="b">
        <f t="shared" si="47"/>
        <v>0</v>
      </c>
      <c r="O195">
        <f t="shared" ref="O195:O258" si="51">IF(AND(K195=K194,L195=L194),O194,O194+1)</f>
        <v>7</v>
      </c>
      <c r="P195" s="31">
        <f t="shared" si="48"/>
        <v>502.62373031582683</v>
      </c>
      <c r="Q195" t="str">
        <f t="shared" si="49"/>
        <v>WT</v>
      </c>
      <c r="R195" s="32"/>
      <c r="S195" t="str">
        <f t="shared" si="50"/>
        <v>WT</v>
      </c>
    </row>
    <row r="196" spans="1:19" x14ac:dyDescent="0.2">
      <c r="A196" t="s">
        <v>632</v>
      </c>
      <c r="B196" s="29">
        <f t="shared" si="39"/>
        <v>45904.359558978977</v>
      </c>
      <c r="C196" s="29">
        <f t="shared" si="40"/>
        <v>45904.692892312312</v>
      </c>
      <c r="D196">
        <v>-31.979997737000001</v>
      </c>
      <c r="E196">
        <v>115.81877102999999</v>
      </c>
      <c r="F196">
        <v>1.327</v>
      </c>
      <c r="G196">
        <v>0</v>
      </c>
      <c r="H196" s="30">
        <f t="shared" si="41"/>
        <v>5.2007796010002494</v>
      </c>
      <c r="I196" s="31">
        <f t="shared" si="42"/>
        <v>302.88869460770485</v>
      </c>
      <c r="J196" t="b">
        <f t="shared" si="43"/>
        <v>1</v>
      </c>
      <c r="K196" t="b">
        <f t="shared" si="44"/>
        <v>0</v>
      </c>
      <c r="L196" t="b">
        <f t="shared" si="45"/>
        <v>0</v>
      </c>
      <c r="M196" t="b">
        <f t="shared" si="46"/>
        <v>1</v>
      </c>
      <c r="N196" t="b">
        <f t="shared" si="47"/>
        <v>0</v>
      </c>
      <c r="O196">
        <f t="shared" si="51"/>
        <v>7</v>
      </c>
      <c r="P196" s="31">
        <f t="shared" si="48"/>
        <v>502.62373031582683</v>
      </c>
      <c r="Q196" t="str">
        <f t="shared" si="49"/>
        <v>WT</v>
      </c>
      <c r="R196" s="32"/>
      <c r="S196" t="str">
        <f t="shared" si="50"/>
        <v>WT</v>
      </c>
    </row>
    <row r="197" spans="1:19" x14ac:dyDescent="0.2">
      <c r="A197" t="s">
        <v>633</v>
      </c>
      <c r="B197" s="29">
        <f t="shared" si="39"/>
        <v>45904.359619173185</v>
      </c>
      <c r="C197" s="29">
        <f t="shared" si="40"/>
        <v>45904.692952506521</v>
      </c>
      <c r="D197">
        <v>-31.980056551000001</v>
      </c>
      <c r="E197">
        <v>115.818772518</v>
      </c>
      <c r="F197">
        <v>1.258</v>
      </c>
      <c r="G197">
        <v>0</v>
      </c>
      <c r="H197" s="30">
        <f t="shared" si="41"/>
        <v>5.2243669051676989</v>
      </c>
      <c r="I197" s="31">
        <f t="shared" si="42"/>
        <v>299.86802462365898</v>
      </c>
      <c r="J197" t="b">
        <f t="shared" si="43"/>
        <v>1</v>
      </c>
      <c r="K197" t="b">
        <f t="shared" si="44"/>
        <v>0</v>
      </c>
      <c r="L197" t="b">
        <f t="shared" si="45"/>
        <v>0</v>
      </c>
      <c r="M197" t="b">
        <f t="shared" si="46"/>
        <v>1</v>
      </c>
      <c r="N197" t="b">
        <f t="shared" si="47"/>
        <v>0</v>
      </c>
      <c r="O197">
        <f t="shared" si="51"/>
        <v>7</v>
      </c>
      <c r="P197" s="31">
        <f t="shared" si="48"/>
        <v>502.62373031582683</v>
      </c>
      <c r="Q197" t="str">
        <f t="shared" si="49"/>
        <v>WT</v>
      </c>
      <c r="R197" s="32"/>
      <c r="S197" t="str">
        <f t="shared" si="50"/>
        <v>WT</v>
      </c>
    </row>
    <row r="198" spans="1:19" x14ac:dyDescent="0.2">
      <c r="A198" t="s">
        <v>634</v>
      </c>
      <c r="B198" s="29">
        <f t="shared" si="39"/>
        <v>45904.359679640394</v>
      </c>
      <c r="C198" s="29">
        <f t="shared" si="40"/>
        <v>45904.69301297373</v>
      </c>
      <c r="D198">
        <v>-31.98011442</v>
      </c>
      <c r="E198">
        <v>115.81877333600001</v>
      </c>
      <c r="F198">
        <v>1.232</v>
      </c>
      <c r="G198">
        <v>0</v>
      </c>
      <c r="H198" s="30">
        <f t="shared" si="41"/>
        <v>5.1678173476830125</v>
      </c>
      <c r="I198" s="31">
        <f t="shared" si="42"/>
        <v>296.95227795057389</v>
      </c>
      <c r="J198" t="b">
        <f t="shared" si="43"/>
        <v>1</v>
      </c>
      <c r="K198" t="b">
        <f t="shared" si="44"/>
        <v>0</v>
      </c>
      <c r="L198" t="b">
        <f t="shared" si="45"/>
        <v>0</v>
      </c>
      <c r="M198" t="b">
        <f t="shared" si="46"/>
        <v>1</v>
      </c>
      <c r="N198" t="b">
        <f t="shared" si="47"/>
        <v>0</v>
      </c>
      <c r="O198">
        <f t="shared" si="51"/>
        <v>7</v>
      </c>
      <c r="P198" s="31">
        <f t="shared" si="48"/>
        <v>502.62373031582683</v>
      </c>
      <c r="Q198" t="str">
        <f t="shared" si="49"/>
        <v>WT</v>
      </c>
      <c r="R198" s="32"/>
      <c r="S198" t="str">
        <f t="shared" si="50"/>
        <v>WT</v>
      </c>
    </row>
    <row r="199" spans="1:19" x14ac:dyDescent="0.2">
      <c r="A199" t="s">
        <v>635</v>
      </c>
      <c r="B199" s="29">
        <f t="shared" si="39"/>
        <v>45904.359739453095</v>
      </c>
      <c r="C199" s="29">
        <f t="shared" si="40"/>
        <v>45904.693072786431</v>
      </c>
      <c r="D199">
        <v>-31.980176503999999</v>
      </c>
      <c r="E199">
        <v>115.818771192</v>
      </c>
      <c r="F199">
        <v>1.3360000000000001</v>
      </c>
      <c r="G199">
        <v>0</v>
      </c>
      <c r="H199" s="30">
        <f t="shared" si="41"/>
        <v>5.0105548230931163</v>
      </c>
      <c r="I199" s="31">
        <f t="shared" si="42"/>
        <v>293.69226924662036</v>
      </c>
      <c r="J199" t="b">
        <f t="shared" si="43"/>
        <v>1</v>
      </c>
      <c r="K199" t="b">
        <f t="shared" si="44"/>
        <v>0</v>
      </c>
      <c r="L199" t="b">
        <f t="shared" si="45"/>
        <v>0</v>
      </c>
      <c r="M199" t="b">
        <f t="shared" si="46"/>
        <v>1</v>
      </c>
      <c r="N199" t="b">
        <f t="shared" si="47"/>
        <v>0</v>
      </c>
      <c r="O199">
        <f t="shared" si="51"/>
        <v>7</v>
      </c>
      <c r="P199" s="31">
        <f t="shared" si="48"/>
        <v>502.62373031582683</v>
      </c>
      <c r="Q199" t="str">
        <f t="shared" si="49"/>
        <v>WT</v>
      </c>
      <c r="R199" s="32"/>
      <c r="S199" t="str">
        <f t="shared" si="50"/>
        <v>WT</v>
      </c>
    </row>
    <row r="200" spans="1:19" x14ac:dyDescent="0.2">
      <c r="A200" t="s">
        <v>636</v>
      </c>
      <c r="B200" s="29">
        <f t="shared" si="39"/>
        <v>45904.359797445628</v>
      </c>
      <c r="C200" s="29">
        <f t="shared" si="40"/>
        <v>45904.693130778964</v>
      </c>
      <c r="D200">
        <v>-31.980236852000001</v>
      </c>
      <c r="E200">
        <v>115.81876773800001</v>
      </c>
      <c r="F200">
        <v>1.341</v>
      </c>
      <c r="G200">
        <v>0</v>
      </c>
      <c r="H200" s="30">
        <f t="shared" si="41"/>
        <v>5.1973000634461641</v>
      </c>
      <c r="I200" s="31">
        <f t="shared" si="42"/>
        <v>290.52832482689865</v>
      </c>
      <c r="J200" t="b">
        <f t="shared" si="43"/>
        <v>1</v>
      </c>
      <c r="K200" t="b">
        <f t="shared" si="44"/>
        <v>0</v>
      </c>
      <c r="L200" t="b">
        <f t="shared" si="45"/>
        <v>0</v>
      </c>
      <c r="M200" t="b">
        <f t="shared" si="46"/>
        <v>1</v>
      </c>
      <c r="N200" t="b">
        <f t="shared" si="47"/>
        <v>0</v>
      </c>
      <c r="O200">
        <f t="shared" si="51"/>
        <v>7</v>
      </c>
      <c r="P200" s="31">
        <f t="shared" si="48"/>
        <v>502.62373031582683</v>
      </c>
      <c r="Q200" t="str">
        <f t="shared" si="49"/>
        <v>WT</v>
      </c>
      <c r="R200" s="32"/>
      <c r="S200" t="str">
        <f t="shared" si="50"/>
        <v>WT</v>
      </c>
    </row>
    <row r="201" spans="1:19" x14ac:dyDescent="0.2">
      <c r="A201" t="s">
        <v>637</v>
      </c>
      <c r="B201" s="29">
        <f t="shared" si="39"/>
        <v>45904.359857599564</v>
      </c>
      <c r="C201" s="29">
        <f t="shared" si="40"/>
        <v>45904.6931909329</v>
      </c>
      <c r="D201">
        <v>-31.980295330000001</v>
      </c>
      <c r="E201">
        <v>115.81876858699999</v>
      </c>
      <c r="F201">
        <v>1.2509999999999999</v>
      </c>
      <c r="G201">
        <v>0</v>
      </c>
      <c r="H201" s="30">
        <f t="shared" si="41"/>
        <v>5.1822358975186944</v>
      </c>
      <c r="I201" s="31">
        <f t="shared" si="42"/>
        <v>287.94171689933296</v>
      </c>
      <c r="J201" t="b">
        <f t="shared" si="43"/>
        <v>1</v>
      </c>
      <c r="K201" t="b">
        <f t="shared" si="44"/>
        <v>0</v>
      </c>
      <c r="L201" t="b">
        <f t="shared" si="45"/>
        <v>0</v>
      </c>
      <c r="M201" t="b">
        <f t="shared" si="46"/>
        <v>1</v>
      </c>
      <c r="N201" t="b">
        <f t="shared" si="47"/>
        <v>0</v>
      </c>
      <c r="O201">
        <f t="shared" si="51"/>
        <v>7</v>
      </c>
      <c r="P201" s="31">
        <f t="shared" si="48"/>
        <v>502.62373031582683</v>
      </c>
      <c r="Q201" t="str">
        <f t="shared" si="49"/>
        <v>WT</v>
      </c>
      <c r="R201" s="32"/>
      <c r="S201" t="str">
        <f t="shared" si="50"/>
        <v>WT</v>
      </c>
    </row>
    <row r="202" spans="1:19" x14ac:dyDescent="0.2">
      <c r="A202" t="s">
        <v>638</v>
      </c>
      <c r="B202" s="29">
        <f t="shared" si="39"/>
        <v>45904.359917579146</v>
      </c>
      <c r="C202" s="29">
        <f t="shared" si="40"/>
        <v>45904.693250912482</v>
      </c>
      <c r="D202">
        <v>-31.98035441</v>
      </c>
      <c r="E202">
        <v>115.81876944299999</v>
      </c>
      <c r="F202">
        <v>1.268</v>
      </c>
      <c r="G202">
        <v>0</v>
      </c>
      <c r="H202" s="30">
        <f t="shared" si="41"/>
        <v>5.0074430415406823</v>
      </c>
      <c r="I202" s="31">
        <f t="shared" si="42"/>
        <v>285.45499516003088</v>
      </c>
      <c r="J202" t="b">
        <f t="shared" si="43"/>
        <v>1</v>
      </c>
      <c r="K202" t="b">
        <f t="shared" si="44"/>
        <v>0</v>
      </c>
      <c r="L202" t="b">
        <f t="shared" si="45"/>
        <v>0</v>
      </c>
      <c r="M202" t="b">
        <f t="shared" si="46"/>
        <v>1</v>
      </c>
      <c r="N202" t="b">
        <f t="shared" si="47"/>
        <v>0</v>
      </c>
      <c r="O202">
        <f t="shared" si="51"/>
        <v>7</v>
      </c>
      <c r="P202" s="31">
        <f t="shared" si="48"/>
        <v>502.62373031582683</v>
      </c>
      <c r="Q202" t="str">
        <f t="shared" si="49"/>
        <v>WT</v>
      </c>
      <c r="R202" s="32"/>
      <c r="S202" t="str">
        <f t="shared" si="50"/>
        <v>WT</v>
      </c>
    </row>
    <row r="203" spans="1:19" x14ac:dyDescent="0.2">
      <c r="A203" t="s">
        <v>639</v>
      </c>
      <c r="B203" s="29">
        <f t="shared" si="39"/>
        <v>45904.359975535663</v>
      </c>
      <c r="C203" s="29">
        <f t="shared" si="40"/>
        <v>45904.693308868998</v>
      </c>
      <c r="D203">
        <v>-31.980413963</v>
      </c>
      <c r="E203">
        <v>115.818766602</v>
      </c>
      <c r="F203">
        <v>1.3240000000000001</v>
      </c>
      <c r="G203">
        <v>0</v>
      </c>
      <c r="H203" s="30">
        <f t="shared" si="41"/>
        <v>5.1909048808738589</v>
      </c>
      <c r="I203" s="31">
        <f t="shared" si="42"/>
        <v>282.75468668639331</v>
      </c>
      <c r="J203" t="b">
        <f t="shared" si="43"/>
        <v>1</v>
      </c>
      <c r="K203" t="b">
        <f t="shared" si="44"/>
        <v>0</v>
      </c>
      <c r="L203" t="b">
        <f t="shared" si="45"/>
        <v>0</v>
      </c>
      <c r="M203" t="b">
        <f t="shared" si="46"/>
        <v>1</v>
      </c>
      <c r="N203" t="b">
        <f t="shared" si="47"/>
        <v>0</v>
      </c>
      <c r="O203">
        <f t="shared" si="51"/>
        <v>7</v>
      </c>
      <c r="P203" s="31">
        <f t="shared" si="48"/>
        <v>502.62373031582683</v>
      </c>
      <c r="Q203" t="str">
        <f t="shared" si="49"/>
        <v>WT</v>
      </c>
      <c r="R203" s="32"/>
      <c r="S203" t="str">
        <f t="shared" si="50"/>
        <v>WT</v>
      </c>
    </row>
    <row r="204" spans="1:19" x14ac:dyDescent="0.2">
      <c r="A204" t="s">
        <v>640</v>
      </c>
      <c r="B204" s="29">
        <f t="shared" si="39"/>
        <v>45904.36003561558</v>
      </c>
      <c r="C204" s="29">
        <f t="shared" si="40"/>
        <v>45904.693368948916</v>
      </c>
      <c r="D204">
        <v>-31.980473806999999</v>
      </c>
      <c r="E204">
        <v>115.818767208</v>
      </c>
      <c r="F204">
        <v>1.282</v>
      </c>
      <c r="G204">
        <v>0</v>
      </c>
      <c r="H204" s="30">
        <f t="shared" si="41"/>
        <v>5.0061499234288931</v>
      </c>
      <c r="I204" s="31">
        <f t="shared" si="42"/>
        <v>280.47994124420978</v>
      </c>
      <c r="J204" t="b">
        <f t="shared" si="43"/>
        <v>1</v>
      </c>
      <c r="K204" t="b">
        <f t="shared" si="44"/>
        <v>0</v>
      </c>
      <c r="L204" t="b">
        <f t="shared" si="45"/>
        <v>0</v>
      </c>
      <c r="M204" t="b">
        <f t="shared" si="46"/>
        <v>1</v>
      </c>
      <c r="N204" t="b">
        <f t="shared" si="47"/>
        <v>0</v>
      </c>
      <c r="O204">
        <f t="shared" si="51"/>
        <v>7</v>
      </c>
      <c r="P204" s="31">
        <f t="shared" si="48"/>
        <v>502.62373031582683</v>
      </c>
      <c r="Q204" t="str">
        <f t="shared" si="49"/>
        <v>WT</v>
      </c>
      <c r="R204" s="32"/>
      <c r="S204" t="str">
        <f t="shared" si="50"/>
        <v>WT</v>
      </c>
    </row>
    <row r="205" spans="1:19" x14ac:dyDescent="0.2">
      <c r="A205" t="s">
        <v>641</v>
      </c>
      <c r="B205" s="29">
        <f t="shared" si="39"/>
        <v>45904.36009355713</v>
      </c>
      <c r="C205" s="29">
        <f t="shared" si="40"/>
        <v>45904.693426890466</v>
      </c>
      <c r="D205">
        <v>-31.980528942999999</v>
      </c>
      <c r="E205">
        <v>115.818764449</v>
      </c>
      <c r="F205">
        <v>1.226</v>
      </c>
      <c r="G205">
        <v>0</v>
      </c>
      <c r="H205" s="30">
        <f t="shared" si="41"/>
        <v>5.2234811475500464</v>
      </c>
      <c r="I205" s="31">
        <f t="shared" si="42"/>
        <v>278.21203490426683</v>
      </c>
      <c r="J205" t="b">
        <f t="shared" si="43"/>
        <v>1</v>
      </c>
      <c r="K205" t="b">
        <f t="shared" si="44"/>
        <v>0</v>
      </c>
      <c r="L205" t="b">
        <f t="shared" si="45"/>
        <v>0</v>
      </c>
      <c r="M205" t="b">
        <f t="shared" si="46"/>
        <v>1</v>
      </c>
      <c r="N205" t="b">
        <f t="shared" si="47"/>
        <v>0</v>
      </c>
      <c r="O205">
        <f t="shared" si="51"/>
        <v>7</v>
      </c>
      <c r="P205" s="31">
        <f t="shared" si="48"/>
        <v>502.62373031582683</v>
      </c>
      <c r="Q205" t="str">
        <f t="shared" si="49"/>
        <v>WT</v>
      </c>
      <c r="R205" s="32"/>
      <c r="S205" t="str">
        <f t="shared" si="50"/>
        <v>WT</v>
      </c>
    </row>
    <row r="206" spans="1:19" x14ac:dyDescent="0.2">
      <c r="A206" t="s">
        <v>642</v>
      </c>
      <c r="B206" s="29">
        <f t="shared" si="39"/>
        <v>45904.360154014088</v>
      </c>
      <c r="C206" s="29">
        <f t="shared" si="40"/>
        <v>45904.693487347424</v>
      </c>
      <c r="D206">
        <v>-31.980582968</v>
      </c>
      <c r="E206">
        <v>115.81876305</v>
      </c>
      <c r="F206">
        <v>1.1499999999999999</v>
      </c>
      <c r="G206">
        <v>0</v>
      </c>
      <c r="H206" s="30">
        <f t="shared" si="41"/>
        <v>5.0318123772740364</v>
      </c>
      <c r="I206" s="31">
        <f t="shared" si="42"/>
        <v>276.22139905804886</v>
      </c>
      <c r="J206" t="b">
        <f t="shared" si="43"/>
        <v>1</v>
      </c>
      <c r="K206" t="b">
        <f t="shared" si="44"/>
        <v>0</v>
      </c>
      <c r="L206" t="b">
        <f t="shared" si="45"/>
        <v>0</v>
      </c>
      <c r="M206" t="b">
        <f t="shared" si="46"/>
        <v>1</v>
      </c>
      <c r="N206" t="b">
        <f t="shared" si="47"/>
        <v>0</v>
      </c>
      <c r="O206">
        <f t="shared" si="51"/>
        <v>7</v>
      </c>
      <c r="P206" s="31">
        <f t="shared" si="48"/>
        <v>502.62373031582683</v>
      </c>
      <c r="Q206" t="str">
        <f t="shared" si="49"/>
        <v>WT</v>
      </c>
      <c r="R206" s="32"/>
      <c r="S206" t="str">
        <f t="shared" si="50"/>
        <v>WT</v>
      </c>
    </row>
    <row r="207" spans="1:19" x14ac:dyDescent="0.2">
      <c r="A207" t="s">
        <v>643</v>
      </c>
      <c r="B207" s="29">
        <f t="shared" si="39"/>
        <v>45904.360212252657</v>
      </c>
      <c r="C207" s="29">
        <f t="shared" si="40"/>
        <v>45904.693545585993</v>
      </c>
      <c r="D207">
        <v>-31.980625100000001</v>
      </c>
      <c r="E207">
        <v>115.8187707</v>
      </c>
      <c r="F207">
        <v>0.94199999999999995</v>
      </c>
      <c r="G207">
        <v>-1</v>
      </c>
      <c r="H207" s="30">
        <f t="shared" si="41"/>
        <v>5.1572284894064069</v>
      </c>
      <c r="I207" s="31">
        <f t="shared" si="42"/>
        <v>275.54046146882035</v>
      </c>
      <c r="J207" t="b">
        <f t="shared" si="43"/>
        <v>1</v>
      </c>
      <c r="K207" t="b">
        <f t="shared" si="44"/>
        <v>0</v>
      </c>
      <c r="L207" t="b">
        <f t="shared" si="45"/>
        <v>0</v>
      </c>
      <c r="M207" t="b">
        <f t="shared" si="46"/>
        <v>0</v>
      </c>
      <c r="N207" t="b">
        <f t="shared" si="47"/>
        <v>0</v>
      </c>
      <c r="O207">
        <f t="shared" si="51"/>
        <v>7</v>
      </c>
      <c r="P207" s="31">
        <f t="shared" si="48"/>
        <v>502.62373031582683</v>
      </c>
      <c r="Q207" t="str">
        <f t="shared" si="49"/>
        <v>WT</v>
      </c>
      <c r="R207" s="32"/>
      <c r="S207" t="str">
        <f t="shared" si="50"/>
        <v>WT</v>
      </c>
    </row>
    <row r="208" spans="1:19" x14ac:dyDescent="0.2">
      <c r="A208" t="s">
        <v>644</v>
      </c>
      <c r="B208" s="29">
        <f t="shared" si="39"/>
        <v>45904.360271942802</v>
      </c>
      <c r="C208" s="29">
        <f t="shared" si="40"/>
        <v>45904.693605276138</v>
      </c>
      <c r="D208">
        <v>-31.980692608999998</v>
      </c>
      <c r="E208">
        <v>115.818770763</v>
      </c>
      <c r="F208">
        <v>1.456</v>
      </c>
      <c r="G208">
        <v>0</v>
      </c>
      <c r="H208" s="30">
        <f t="shared" si="41"/>
        <v>5.0074663013219833</v>
      </c>
      <c r="I208" s="31">
        <f t="shared" si="42"/>
        <v>273.50543039943818</v>
      </c>
      <c r="J208" t="b">
        <f t="shared" si="43"/>
        <v>1</v>
      </c>
      <c r="K208" t="b">
        <f t="shared" si="44"/>
        <v>0</v>
      </c>
      <c r="L208" t="b">
        <f t="shared" si="45"/>
        <v>0</v>
      </c>
      <c r="M208" t="b">
        <f t="shared" si="46"/>
        <v>1</v>
      </c>
      <c r="N208" t="b">
        <f t="shared" si="47"/>
        <v>0</v>
      </c>
      <c r="O208">
        <f t="shared" si="51"/>
        <v>7</v>
      </c>
      <c r="P208" s="31">
        <f t="shared" si="48"/>
        <v>502.62373031582683</v>
      </c>
      <c r="Q208" t="str">
        <f t="shared" si="49"/>
        <v>WT</v>
      </c>
      <c r="R208" s="32"/>
      <c r="S208" t="str">
        <f t="shared" si="50"/>
        <v>WT</v>
      </c>
    </row>
    <row r="209" spans="1:19" x14ac:dyDescent="0.2">
      <c r="A209" t="s">
        <v>645</v>
      </c>
      <c r="B209" s="29">
        <f t="shared" si="39"/>
        <v>45904.360329899588</v>
      </c>
      <c r="C209" s="29">
        <f t="shared" si="40"/>
        <v>45904.693663232923</v>
      </c>
      <c r="D209">
        <v>-31.980747045000001</v>
      </c>
      <c r="E209">
        <v>115.818769473</v>
      </c>
      <c r="F209">
        <v>1.2090000000000001</v>
      </c>
      <c r="G209">
        <v>0</v>
      </c>
      <c r="H209" s="30">
        <f t="shared" si="41"/>
        <v>5.180429806932807</v>
      </c>
      <c r="I209" s="31">
        <f t="shared" si="42"/>
        <v>271.88148470510714</v>
      </c>
      <c r="J209" t="b">
        <f t="shared" si="43"/>
        <v>1</v>
      </c>
      <c r="K209" t="b">
        <f t="shared" si="44"/>
        <v>0</v>
      </c>
      <c r="L209" t="b">
        <f t="shared" si="45"/>
        <v>0</v>
      </c>
      <c r="M209" t="b">
        <f t="shared" si="46"/>
        <v>1</v>
      </c>
      <c r="N209" t="b">
        <f t="shared" si="47"/>
        <v>0</v>
      </c>
      <c r="O209">
        <f t="shared" si="51"/>
        <v>7</v>
      </c>
      <c r="P209" s="31">
        <f t="shared" si="48"/>
        <v>502.62373031582683</v>
      </c>
      <c r="Q209" t="str">
        <f t="shared" si="49"/>
        <v>WT</v>
      </c>
      <c r="R209" s="32"/>
      <c r="S209" t="str">
        <f t="shared" si="50"/>
        <v>WT</v>
      </c>
    </row>
    <row r="210" spans="1:19" x14ac:dyDescent="0.2">
      <c r="A210" t="s">
        <v>646</v>
      </c>
      <c r="B210" s="29">
        <f t="shared" si="39"/>
        <v>45904.360389858266</v>
      </c>
      <c r="C210" s="29">
        <f t="shared" si="40"/>
        <v>45904.693723191602</v>
      </c>
      <c r="D210">
        <v>-31.980799277999999</v>
      </c>
      <c r="E210">
        <v>115.818770774</v>
      </c>
      <c r="F210">
        <v>1.121</v>
      </c>
      <c r="G210">
        <v>0</v>
      </c>
      <c r="H210" s="30">
        <f t="shared" si="41"/>
        <v>5.0099167507141829</v>
      </c>
      <c r="I210" s="31">
        <f t="shared" si="42"/>
        <v>270.67522303340883</v>
      </c>
      <c r="J210" t="b">
        <f t="shared" si="43"/>
        <v>1</v>
      </c>
      <c r="K210" t="b">
        <f t="shared" si="44"/>
        <v>0</v>
      </c>
      <c r="L210" t="b">
        <f t="shared" si="45"/>
        <v>0</v>
      </c>
      <c r="M210" t="b">
        <f t="shared" si="46"/>
        <v>1</v>
      </c>
      <c r="N210" t="b">
        <f t="shared" si="47"/>
        <v>0</v>
      </c>
      <c r="O210">
        <f t="shared" si="51"/>
        <v>7</v>
      </c>
      <c r="P210" s="31">
        <f t="shared" si="48"/>
        <v>502.62373031582683</v>
      </c>
      <c r="Q210" t="str">
        <f t="shared" si="49"/>
        <v>WT</v>
      </c>
      <c r="R210" s="32"/>
      <c r="S210" t="str">
        <f t="shared" si="50"/>
        <v>WT</v>
      </c>
    </row>
    <row r="211" spans="1:19" x14ac:dyDescent="0.2">
      <c r="A211" t="s">
        <v>647</v>
      </c>
      <c r="B211" s="29">
        <f t="shared" si="39"/>
        <v>45904.360447843414</v>
      </c>
      <c r="C211" s="29">
        <f t="shared" si="40"/>
        <v>45904.693781176749</v>
      </c>
      <c r="D211">
        <v>-31.980853152000002</v>
      </c>
      <c r="E211">
        <v>115.81877572</v>
      </c>
      <c r="F211">
        <v>1.1990000000000001</v>
      </c>
      <c r="G211">
        <v>0</v>
      </c>
      <c r="H211" s="30">
        <f t="shared" si="41"/>
        <v>5.2081611240282655</v>
      </c>
      <c r="I211" s="31">
        <f t="shared" si="42"/>
        <v>269.88990130268132</v>
      </c>
      <c r="J211" t="b">
        <f t="shared" si="43"/>
        <v>1</v>
      </c>
      <c r="K211" t="b">
        <f t="shared" si="44"/>
        <v>0</v>
      </c>
      <c r="L211" t="b">
        <f t="shared" si="45"/>
        <v>0</v>
      </c>
      <c r="M211" t="b">
        <f t="shared" si="46"/>
        <v>1</v>
      </c>
      <c r="N211" t="b">
        <f t="shared" si="47"/>
        <v>0</v>
      </c>
      <c r="O211">
        <f t="shared" si="51"/>
        <v>7</v>
      </c>
      <c r="P211" s="31">
        <f t="shared" si="48"/>
        <v>502.62373031582683</v>
      </c>
      <c r="Q211" t="str">
        <f t="shared" si="49"/>
        <v>WT</v>
      </c>
      <c r="R211" s="32"/>
      <c r="S211" t="str">
        <f t="shared" si="50"/>
        <v>WT</v>
      </c>
    </row>
    <row r="212" spans="1:19" x14ac:dyDescent="0.2">
      <c r="A212" t="s">
        <v>648</v>
      </c>
      <c r="B212" s="29">
        <f t="shared" si="39"/>
        <v>45904.360508123056</v>
      </c>
      <c r="C212" s="29">
        <f t="shared" si="40"/>
        <v>45904.693841456392</v>
      </c>
      <c r="D212">
        <v>-31.980909799999999</v>
      </c>
      <c r="E212">
        <v>115.8187794</v>
      </c>
      <c r="F212">
        <v>1.2110000000000001</v>
      </c>
      <c r="G212">
        <v>-1</v>
      </c>
      <c r="H212" s="30">
        <f t="shared" si="41"/>
        <v>5.1695008529350162</v>
      </c>
      <c r="I212" s="31">
        <f t="shared" si="42"/>
        <v>269.06510855505729</v>
      </c>
      <c r="J212" t="b">
        <f t="shared" si="43"/>
        <v>1</v>
      </c>
      <c r="K212" t="b">
        <f t="shared" si="44"/>
        <v>0</v>
      </c>
      <c r="L212" t="b">
        <f t="shared" si="45"/>
        <v>0</v>
      </c>
      <c r="M212" t="b">
        <f t="shared" si="46"/>
        <v>0</v>
      </c>
      <c r="N212" t="b">
        <f t="shared" si="47"/>
        <v>0</v>
      </c>
      <c r="O212">
        <f t="shared" si="51"/>
        <v>7</v>
      </c>
      <c r="P212" s="31">
        <f t="shared" si="48"/>
        <v>502.62373031582683</v>
      </c>
      <c r="Q212" t="str">
        <f t="shared" si="49"/>
        <v>WT</v>
      </c>
      <c r="R212" s="32"/>
      <c r="S212" t="str">
        <f t="shared" si="50"/>
        <v>WT</v>
      </c>
    </row>
    <row r="213" spans="1:19" x14ac:dyDescent="0.2">
      <c r="A213" t="s">
        <v>649</v>
      </c>
      <c r="B213" s="29">
        <f t="shared" si="39"/>
        <v>45904.360567955242</v>
      </c>
      <c r="C213" s="29">
        <f t="shared" si="40"/>
        <v>45904.693901288578</v>
      </c>
      <c r="D213">
        <v>-31.980969734999999</v>
      </c>
      <c r="E213">
        <v>115.818777023</v>
      </c>
      <c r="F213">
        <v>1.29</v>
      </c>
      <c r="G213">
        <v>0</v>
      </c>
      <c r="H213" s="30">
        <f t="shared" si="41"/>
        <v>5.0114192068576813</v>
      </c>
      <c r="I213" s="31">
        <f t="shared" si="42"/>
        <v>267.76642251426955</v>
      </c>
      <c r="J213" t="b">
        <f t="shared" si="43"/>
        <v>1</v>
      </c>
      <c r="K213" t="b">
        <f t="shared" si="44"/>
        <v>0</v>
      </c>
      <c r="L213" t="b">
        <f t="shared" si="45"/>
        <v>0</v>
      </c>
      <c r="M213" t="b">
        <f t="shared" si="46"/>
        <v>1</v>
      </c>
      <c r="N213" t="b">
        <f t="shared" si="47"/>
        <v>0</v>
      </c>
      <c r="O213">
        <f t="shared" si="51"/>
        <v>7</v>
      </c>
      <c r="P213" s="31">
        <f t="shared" si="48"/>
        <v>502.62373031582683</v>
      </c>
      <c r="Q213" t="str">
        <f t="shared" si="49"/>
        <v>WT</v>
      </c>
      <c r="R213" s="32"/>
      <c r="S213" t="str">
        <f t="shared" si="50"/>
        <v>WT</v>
      </c>
    </row>
    <row r="214" spans="1:19" x14ac:dyDescent="0.2">
      <c r="A214" t="s">
        <v>650</v>
      </c>
      <c r="B214" s="29">
        <f t="shared" si="39"/>
        <v>45904.360625957779</v>
      </c>
      <c r="C214" s="29">
        <f t="shared" si="40"/>
        <v>45904.693959291115</v>
      </c>
      <c r="D214">
        <v>-31.981024850000001</v>
      </c>
      <c r="E214">
        <v>115.818771091</v>
      </c>
      <c r="F214">
        <v>1.228</v>
      </c>
      <c r="G214">
        <v>0</v>
      </c>
      <c r="H214" s="30">
        <f t="shared" si="41"/>
        <v>5.2299329079687595</v>
      </c>
      <c r="I214" s="31">
        <f t="shared" si="42"/>
        <v>266.36332236661741</v>
      </c>
      <c r="J214" t="b">
        <f t="shared" si="43"/>
        <v>1</v>
      </c>
      <c r="K214" t="b">
        <f t="shared" si="44"/>
        <v>0</v>
      </c>
      <c r="L214" t="b">
        <f t="shared" si="45"/>
        <v>0</v>
      </c>
      <c r="M214" t="b">
        <f t="shared" si="46"/>
        <v>1</v>
      </c>
      <c r="N214" t="b">
        <f t="shared" si="47"/>
        <v>0</v>
      </c>
      <c r="O214">
        <f t="shared" si="51"/>
        <v>7</v>
      </c>
      <c r="P214" s="31">
        <f t="shared" si="48"/>
        <v>502.62373031582683</v>
      </c>
      <c r="Q214" t="str">
        <f t="shared" si="49"/>
        <v>WT</v>
      </c>
      <c r="R214" s="32"/>
      <c r="S214" t="str">
        <f t="shared" si="50"/>
        <v>WT</v>
      </c>
    </row>
    <row r="215" spans="1:19" x14ac:dyDescent="0.2">
      <c r="A215" t="s">
        <v>651</v>
      </c>
      <c r="B215" s="29">
        <f t="shared" si="39"/>
        <v>45904.36068648941</v>
      </c>
      <c r="C215" s="29">
        <f t="shared" si="40"/>
        <v>45904.694019822746</v>
      </c>
      <c r="D215">
        <v>-31.981087085999999</v>
      </c>
      <c r="E215">
        <v>115.818762548</v>
      </c>
      <c r="F215">
        <v>1.3320000000000001</v>
      </c>
      <c r="G215">
        <v>0</v>
      </c>
      <c r="H215" s="30">
        <f t="shared" si="41"/>
        <v>5.192399793304503</v>
      </c>
      <c r="I215" s="31">
        <f t="shared" si="42"/>
        <v>264.76882646867892</v>
      </c>
      <c r="J215" t="b">
        <f t="shared" si="43"/>
        <v>1</v>
      </c>
      <c r="K215" t="b">
        <f t="shared" si="44"/>
        <v>0</v>
      </c>
      <c r="L215" t="b">
        <f t="shared" si="45"/>
        <v>0</v>
      </c>
      <c r="M215" t="b">
        <f t="shared" si="46"/>
        <v>1</v>
      </c>
      <c r="N215" t="b">
        <f t="shared" si="47"/>
        <v>0</v>
      </c>
      <c r="O215">
        <f t="shared" si="51"/>
        <v>7</v>
      </c>
      <c r="P215" s="31">
        <f t="shared" si="48"/>
        <v>502.62373031582683</v>
      </c>
      <c r="Q215" t="str">
        <f t="shared" si="49"/>
        <v>WT</v>
      </c>
      <c r="R215" s="32"/>
      <c r="S215" t="str">
        <f t="shared" si="50"/>
        <v>WT</v>
      </c>
    </row>
    <row r="216" spans="1:19" x14ac:dyDescent="0.2">
      <c r="A216" t="s">
        <v>652</v>
      </c>
      <c r="B216" s="29">
        <f t="shared" si="39"/>
        <v>45904.36074658663</v>
      </c>
      <c r="C216" s="29">
        <f t="shared" si="40"/>
        <v>45904.694079919966</v>
      </c>
      <c r="D216">
        <v>-31.981173774999998</v>
      </c>
      <c r="E216">
        <v>115.818753552</v>
      </c>
      <c r="F216">
        <v>1.8640000000000001</v>
      </c>
      <c r="G216">
        <v>0</v>
      </c>
      <c r="H216" s="30">
        <f t="shared" si="41"/>
        <v>5.1795157603919506</v>
      </c>
      <c r="I216" s="31">
        <f t="shared" si="42"/>
        <v>263.11292046968435</v>
      </c>
      <c r="J216" t="b">
        <f t="shared" si="43"/>
        <v>1</v>
      </c>
      <c r="K216" t="b">
        <f t="shared" si="44"/>
        <v>0</v>
      </c>
      <c r="L216" t="b">
        <f t="shared" si="45"/>
        <v>0</v>
      </c>
      <c r="M216" t="b">
        <f t="shared" si="46"/>
        <v>1</v>
      </c>
      <c r="N216" t="b">
        <f t="shared" si="47"/>
        <v>0</v>
      </c>
      <c r="O216">
        <f t="shared" si="51"/>
        <v>7</v>
      </c>
      <c r="P216" s="31">
        <f t="shared" si="48"/>
        <v>502.62373031582683</v>
      </c>
      <c r="Q216" t="str">
        <f t="shared" si="49"/>
        <v>WT</v>
      </c>
      <c r="R216" s="32"/>
      <c r="S216" t="str">
        <f t="shared" si="50"/>
        <v>WT</v>
      </c>
    </row>
    <row r="217" spans="1:19" x14ac:dyDescent="0.2">
      <c r="A217" t="s">
        <v>653</v>
      </c>
      <c r="B217" s="29">
        <f t="shared" si="39"/>
        <v>45904.360806534729</v>
      </c>
      <c r="C217" s="29">
        <f t="shared" si="40"/>
        <v>45904.694139868065</v>
      </c>
      <c r="D217">
        <v>-31.981231306000002</v>
      </c>
      <c r="E217">
        <v>115.818748028</v>
      </c>
      <c r="F217">
        <v>1.2390000000000001</v>
      </c>
      <c r="G217">
        <v>0</v>
      </c>
      <c r="H217" s="30">
        <f t="shared" si="41"/>
        <v>5.0190163543447852</v>
      </c>
      <c r="I217" s="31">
        <f t="shared" si="42"/>
        <v>262.24746635298652</v>
      </c>
      <c r="J217" t="b">
        <f t="shared" si="43"/>
        <v>1</v>
      </c>
      <c r="K217" t="b">
        <f t="shared" si="44"/>
        <v>0</v>
      </c>
      <c r="L217" t="b">
        <f t="shared" si="45"/>
        <v>0</v>
      </c>
      <c r="M217" t="b">
        <f t="shared" si="46"/>
        <v>1</v>
      </c>
      <c r="N217" t="b">
        <f t="shared" si="47"/>
        <v>0</v>
      </c>
      <c r="O217">
        <f t="shared" si="51"/>
        <v>7</v>
      </c>
      <c r="P217" s="31">
        <f t="shared" si="48"/>
        <v>502.62373031582683</v>
      </c>
      <c r="Q217" t="str">
        <f t="shared" si="49"/>
        <v>WT</v>
      </c>
      <c r="R217" s="32"/>
      <c r="S217" t="str">
        <f t="shared" si="50"/>
        <v>WT</v>
      </c>
    </row>
    <row r="218" spans="1:19" x14ac:dyDescent="0.2">
      <c r="A218" t="s">
        <v>654</v>
      </c>
      <c r="B218" s="29">
        <f t="shared" si="39"/>
        <v>45904.360864625196</v>
      </c>
      <c r="C218" s="29">
        <f t="shared" si="40"/>
        <v>45904.694197958532</v>
      </c>
      <c r="D218">
        <v>-31.981289535999998</v>
      </c>
      <c r="E218">
        <v>115.81874600499999</v>
      </c>
      <c r="F218">
        <v>1.2909999999999999</v>
      </c>
      <c r="G218">
        <v>0</v>
      </c>
      <c r="H218" s="30">
        <f t="shared" si="41"/>
        <v>5.1890132948756218</v>
      </c>
      <c r="I218" s="31">
        <f t="shared" si="42"/>
        <v>261.86551461430781</v>
      </c>
      <c r="J218" t="b">
        <f t="shared" si="43"/>
        <v>1</v>
      </c>
      <c r="K218" t="b">
        <f t="shared" si="44"/>
        <v>0</v>
      </c>
      <c r="L218" t="b">
        <f t="shared" si="45"/>
        <v>0</v>
      </c>
      <c r="M218" t="b">
        <f t="shared" si="46"/>
        <v>1</v>
      </c>
      <c r="N218" t="b">
        <f t="shared" si="47"/>
        <v>0</v>
      </c>
      <c r="O218">
        <f t="shared" si="51"/>
        <v>7</v>
      </c>
      <c r="P218" s="31">
        <f t="shared" si="48"/>
        <v>502.62373031582683</v>
      </c>
      <c r="Q218" t="str">
        <f t="shared" si="49"/>
        <v>WT</v>
      </c>
      <c r="R218" s="32"/>
      <c r="S218" t="str">
        <f t="shared" si="50"/>
        <v>WT</v>
      </c>
    </row>
    <row r="219" spans="1:19" x14ac:dyDescent="0.2">
      <c r="A219" t="s">
        <v>655</v>
      </c>
      <c r="B219" s="29">
        <f t="shared" si="39"/>
        <v>45904.36092468322</v>
      </c>
      <c r="C219" s="29">
        <f t="shared" si="40"/>
        <v>45904.694258016556</v>
      </c>
      <c r="D219">
        <v>-31.981350511999999</v>
      </c>
      <c r="E219">
        <v>115.818745455</v>
      </c>
      <c r="F219">
        <v>1.3069999999999999</v>
      </c>
      <c r="G219">
        <v>0</v>
      </c>
      <c r="H219" s="30">
        <f t="shared" si="41"/>
        <v>5.1932503469288349</v>
      </c>
      <c r="I219" s="31">
        <f t="shared" si="42"/>
        <v>261.78483171717539</v>
      </c>
      <c r="J219" t="b">
        <f t="shared" si="43"/>
        <v>1</v>
      </c>
      <c r="K219" t="b">
        <f t="shared" si="44"/>
        <v>0</v>
      </c>
      <c r="L219" t="b">
        <f t="shared" si="45"/>
        <v>0</v>
      </c>
      <c r="M219" t="b">
        <f t="shared" si="46"/>
        <v>1</v>
      </c>
      <c r="N219" t="b">
        <f t="shared" si="47"/>
        <v>0</v>
      </c>
      <c r="O219">
        <f t="shared" si="51"/>
        <v>7</v>
      </c>
      <c r="P219" s="31">
        <f t="shared" si="48"/>
        <v>502.62373031582683</v>
      </c>
      <c r="Q219" t="str">
        <f t="shared" si="49"/>
        <v>WT</v>
      </c>
      <c r="R219" s="32"/>
      <c r="S219" t="str">
        <f t="shared" si="50"/>
        <v>WT</v>
      </c>
    </row>
    <row r="220" spans="1:19" x14ac:dyDescent="0.2">
      <c r="A220" t="s">
        <v>656</v>
      </c>
      <c r="B220" s="29">
        <f t="shared" si="39"/>
        <v>45904.360984790284</v>
      </c>
      <c r="C220" s="29">
        <f t="shared" si="40"/>
        <v>45904.69431812362</v>
      </c>
      <c r="D220">
        <v>-31.981410295</v>
      </c>
      <c r="E220">
        <v>115.818745705</v>
      </c>
      <c r="F220">
        <v>1.28</v>
      </c>
      <c r="G220">
        <v>0</v>
      </c>
      <c r="H220" s="30">
        <f t="shared" si="41"/>
        <v>5.2199783502146602</v>
      </c>
      <c r="I220" s="31">
        <f t="shared" si="42"/>
        <v>261.95059289522391</v>
      </c>
      <c r="J220" t="b">
        <f t="shared" si="43"/>
        <v>1</v>
      </c>
      <c r="K220" t="b">
        <f t="shared" si="44"/>
        <v>0</v>
      </c>
      <c r="L220" t="b">
        <f t="shared" si="45"/>
        <v>0</v>
      </c>
      <c r="M220" t="b">
        <f t="shared" si="46"/>
        <v>1</v>
      </c>
      <c r="N220" t="b">
        <f t="shared" si="47"/>
        <v>0</v>
      </c>
      <c r="O220">
        <f t="shared" si="51"/>
        <v>7</v>
      </c>
      <c r="P220" s="31">
        <f t="shared" si="48"/>
        <v>502.62373031582683</v>
      </c>
      <c r="Q220" t="str">
        <f t="shared" si="49"/>
        <v>WT</v>
      </c>
      <c r="R220" s="32"/>
      <c r="S220" t="str">
        <f t="shared" si="50"/>
        <v>WT</v>
      </c>
    </row>
    <row r="221" spans="1:19" x14ac:dyDescent="0.2">
      <c r="A221" t="s">
        <v>657</v>
      </c>
      <c r="B221" s="29">
        <f t="shared" si="39"/>
        <v>45904.361045206701</v>
      </c>
      <c r="C221" s="29">
        <f t="shared" si="40"/>
        <v>45904.694378540036</v>
      </c>
      <c r="D221">
        <v>-31.981470465000001</v>
      </c>
      <c r="E221">
        <v>115.81874602000001</v>
      </c>
      <c r="F221">
        <v>1.282</v>
      </c>
      <c r="G221">
        <v>0</v>
      </c>
      <c r="H221" s="30">
        <f t="shared" si="41"/>
        <v>5.200169188901782</v>
      </c>
      <c r="I221" s="31">
        <f t="shared" si="42"/>
        <v>262.29346525340748</v>
      </c>
      <c r="J221" t="b">
        <f t="shared" si="43"/>
        <v>1</v>
      </c>
      <c r="K221" t="b">
        <f t="shared" si="44"/>
        <v>0</v>
      </c>
      <c r="L221" t="b">
        <f t="shared" si="45"/>
        <v>0</v>
      </c>
      <c r="M221" t="b">
        <f t="shared" si="46"/>
        <v>1</v>
      </c>
      <c r="N221" t="b">
        <f t="shared" si="47"/>
        <v>0</v>
      </c>
      <c r="O221">
        <f t="shared" si="51"/>
        <v>7</v>
      </c>
      <c r="P221" s="31">
        <f t="shared" si="48"/>
        <v>502.62373031582683</v>
      </c>
      <c r="Q221" t="str">
        <f t="shared" si="49"/>
        <v>WT</v>
      </c>
      <c r="R221" s="32"/>
      <c r="S221" t="str">
        <f t="shared" si="50"/>
        <v>WT</v>
      </c>
    </row>
    <row r="222" spans="1:19" x14ac:dyDescent="0.2">
      <c r="A222" t="s">
        <v>658</v>
      </c>
      <c r="B222" s="29">
        <f t="shared" si="39"/>
        <v>45904.361105393844</v>
      </c>
      <c r="C222" s="29">
        <f t="shared" si="40"/>
        <v>45904.69443872718</v>
      </c>
      <c r="D222">
        <v>-31.981530229000001</v>
      </c>
      <c r="E222">
        <v>115.818742046</v>
      </c>
      <c r="F222">
        <v>1.28</v>
      </c>
      <c r="G222">
        <v>0</v>
      </c>
      <c r="H222" s="30">
        <f t="shared" si="41"/>
        <v>5.1923080114647746</v>
      </c>
      <c r="I222" s="31">
        <f t="shared" si="42"/>
        <v>262.3993796092862</v>
      </c>
      <c r="J222" t="b">
        <f t="shared" si="43"/>
        <v>1</v>
      </c>
      <c r="K222" t="b">
        <f t="shared" si="44"/>
        <v>0</v>
      </c>
      <c r="L222" t="b">
        <f t="shared" si="45"/>
        <v>0</v>
      </c>
      <c r="M222" t="b">
        <f t="shared" si="46"/>
        <v>1</v>
      </c>
      <c r="N222" t="b">
        <f t="shared" si="47"/>
        <v>0</v>
      </c>
      <c r="O222">
        <f t="shared" si="51"/>
        <v>7</v>
      </c>
      <c r="P222" s="31">
        <f t="shared" si="48"/>
        <v>502.62373031582683</v>
      </c>
      <c r="Q222" t="str">
        <f t="shared" si="49"/>
        <v>WT</v>
      </c>
      <c r="R222" s="32"/>
      <c r="S222" t="str">
        <f t="shared" si="50"/>
        <v>WT</v>
      </c>
    </row>
    <row r="223" spans="1:19" x14ac:dyDescent="0.2">
      <c r="A223" t="s">
        <v>659</v>
      </c>
      <c r="B223" s="29">
        <f t="shared" si="39"/>
        <v>45904.361165490001</v>
      </c>
      <c r="C223" s="29">
        <f t="shared" si="40"/>
        <v>45904.694498823337</v>
      </c>
      <c r="D223">
        <v>-31.981588894000001</v>
      </c>
      <c r="E223">
        <v>115.818738513</v>
      </c>
      <c r="F223">
        <v>1.258</v>
      </c>
      <c r="G223">
        <v>0</v>
      </c>
      <c r="H223" s="30">
        <f t="shared" si="41"/>
        <v>5.1908992230892181</v>
      </c>
      <c r="I223" s="31">
        <f t="shared" si="42"/>
        <v>262.70188924105571</v>
      </c>
      <c r="J223" t="b">
        <f t="shared" si="43"/>
        <v>1</v>
      </c>
      <c r="K223" t="b">
        <f t="shared" si="44"/>
        <v>0</v>
      </c>
      <c r="L223" t="b">
        <f t="shared" si="45"/>
        <v>0</v>
      </c>
      <c r="M223" t="b">
        <f t="shared" si="46"/>
        <v>1</v>
      </c>
      <c r="N223" t="b">
        <f t="shared" si="47"/>
        <v>0</v>
      </c>
      <c r="O223">
        <f t="shared" si="51"/>
        <v>7</v>
      </c>
      <c r="P223" s="31">
        <f t="shared" si="48"/>
        <v>502.62373031582683</v>
      </c>
      <c r="Q223" t="str">
        <f t="shared" si="49"/>
        <v>WT</v>
      </c>
      <c r="R223" s="32"/>
      <c r="S223" t="str">
        <f t="shared" si="50"/>
        <v>WT</v>
      </c>
    </row>
    <row r="224" spans="1:19" x14ac:dyDescent="0.2">
      <c r="A224" t="s">
        <v>660</v>
      </c>
      <c r="B224" s="29">
        <f t="shared" si="39"/>
        <v>45904.361225569854</v>
      </c>
      <c r="C224" s="29">
        <f t="shared" si="40"/>
        <v>45904.694558903189</v>
      </c>
      <c r="D224">
        <v>-31.981649719</v>
      </c>
      <c r="E224">
        <v>115.81874035200001</v>
      </c>
      <c r="F224">
        <v>1.3029999999999999</v>
      </c>
      <c r="G224">
        <v>0</v>
      </c>
      <c r="H224" s="30">
        <f t="shared" si="41"/>
        <v>5.1820699358358979</v>
      </c>
      <c r="I224" s="31">
        <f t="shared" si="42"/>
        <v>263.70059025458181</v>
      </c>
      <c r="J224" t="b">
        <f t="shared" si="43"/>
        <v>1</v>
      </c>
      <c r="K224" t="b">
        <f t="shared" si="44"/>
        <v>0</v>
      </c>
      <c r="L224" t="b">
        <f t="shared" si="45"/>
        <v>0</v>
      </c>
      <c r="M224" t="b">
        <f t="shared" si="46"/>
        <v>1</v>
      </c>
      <c r="N224" t="b">
        <f t="shared" si="47"/>
        <v>0</v>
      </c>
      <c r="O224">
        <f t="shared" si="51"/>
        <v>7</v>
      </c>
      <c r="P224" s="31">
        <f t="shared" si="48"/>
        <v>502.62373031582683</v>
      </c>
      <c r="Q224" t="str">
        <f t="shared" si="49"/>
        <v>WT</v>
      </c>
      <c r="R224" s="32"/>
      <c r="S224" t="str">
        <f t="shared" si="50"/>
        <v>WT</v>
      </c>
    </row>
    <row r="225" spans="1:19" x14ac:dyDescent="0.2">
      <c r="A225" t="s">
        <v>661</v>
      </c>
      <c r="B225" s="29">
        <f t="shared" si="39"/>
        <v>45904.361285547515</v>
      </c>
      <c r="C225" s="29">
        <f t="shared" si="40"/>
        <v>45904.694618880851</v>
      </c>
      <c r="D225">
        <v>-31.981711513</v>
      </c>
      <c r="E225">
        <v>115.818744911</v>
      </c>
      <c r="F225">
        <v>1.329</v>
      </c>
      <c r="G225">
        <v>0</v>
      </c>
      <c r="H225" s="30">
        <f t="shared" si="41"/>
        <v>5.2310355473309755</v>
      </c>
      <c r="I225" s="31">
        <f t="shared" si="42"/>
        <v>265.13886681599126</v>
      </c>
      <c r="J225" t="b">
        <f t="shared" si="43"/>
        <v>1</v>
      </c>
      <c r="K225" t="b">
        <f t="shared" si="44"/>
        <v>0</v>
      </c>
      <c r="L225" t="b">
        <f t="shared" si="45"/>
        <v>0</v>
      </c>
      <c r="M225" t="b">
        <f t="shared" si="46"/>
        <v>1</v>
      </c>
      <c r="N225" t="b">
        <f t="shared" si="47"/>
        <v>0</v>
      </c>
      <c r="O225">
        <f t="shared" si="51"/>
        <v>7</v>
      </c>
      <c r="P225" s="31">
        <f t="shared" si="48"/>
        <v>502.62373031582683</v>
      </c>
      <c r="Q225" t="str">
        <f t="shared" si="49"/>
        <v>WT</v>
      </c>
      <c r="R225" s="32"/>
      <c r="S225" t="str">
        <f t="shared" si="50"/>
        <v>WT</v>
      </c>
    </row>
    <row r="226" spans="1:19" x14ac:dyDescent="0.2">
      <c r="A226" t="s">
        <v>662</v>
      </c>
      <c r="B226" s="29">
        <f t="shared" si="39"/>
        <v>45904.361346091908</v>
      </c>
      <c r="C226" s="29">
        <f t="shared" si="40"/>
        <v>45904.694679425244</v>
      </c>
      <c r="D226">
        <v>-31.981767978000001</v>
      </c>
      <c r="E226">
        <v>115.81874394899999</v>
      </c>
      <c r="F226">
        <v>1.2</v>
      </c>
      <c r="G226">
        <v>0</v>
      </c>
      <c r="H226" s="30">
        <f t="shared" si="41"/>
        <v>5.0067829666659236</v>
      </c>
      <c r="I226" s="31">
        <f t="shared" si="42"/>
        <v>266.12632153329292</v>
      </c>
      <c r="J226" t="b">
        <f t="shared" si="43"/>
        <v>1</v>
      </c>
      <c r="K226" t="b">
        <f t="shared" si="44"/>
        <v>0</v>
      </c>
      <c r="L226" t="b">
        <f t="shared" si="45"/>
        <v>0</v>
      </c>
      <c r="M226" t="b">
        <f t="shared" si="46"/>
        <v>1</v>
      </c>
      <c r="N226" t="b">
        <f t="shared" si="47"/>
        <v>0</v>
      </c>
      <c r="O226">
        <f t="shared" si="51"/>
        <v>7</v>
      </c>
      <c r="P226" s="31">
        <f t="shared" si="48"/>
        <v>502.62373031582683</v>
      </c>
      <c r="Q226" t="str">
        <f t="shared" si="49"/>
        <v>WT</v>
      </c>
      <c r="R226" s="32"/>
      <c r="S226" t="str">
        <f t="shared" si="50"/>
        <v>WT</v>
      </c>
    </row>
    <row r="227" spans="1:19" x14ac:dyDescent="0.2">
      <c r="A227" t="s">
        <v>663</v>
      </c>
      <c r="B227" s="29">
        <f t="shared" si="39"/>
        <v>45904.361404040785</v>
      </c>
      <c r="C227" s="29">
        <f t="shared" si="40"/>
        <v>45904.69473737412</v>
      </c>
      <c r="D227">
        <v>-31.981825004000001</v>
      </c>
      <c r="E227">
        <v>115.818748281</v>
      </c>
      <c r="F227">
        <v>1.2689999999999999</v>
      </c>
      <c r="G227">
        <v>0</v>
      </c>
      <c r="H227" s="30">
        <f t="shared" si="41"/>
        <v>5.1804442657157779</v>
      </c>
      <c r="I227" s="31">
        <f t="shared" si="42"/>
        <v>267.75917247823986</v>
      </c>
      <c r="J227" t="b">
        <f t="shared" si="43"/>
        <v>1</v>
      </c>
      <c r="K227" t="b">
        <f t="shared" si="44"/>
        <v>0</v>
      </c>
      <c r="L227" t="b">
        <f t="shared" si="45"/>
        <v>0</v>
      </c>
      <c r="M227" t="b">
        <f t="shared" si="46"/>
        <v>1</v>
      </c>
      <c r="N227" t="b">
        <f t="shared" si="47"/>
        <v>0</v>
      </c>
      <c r="O227">
        <f t="shared" si="51"/>
        <v>7</v>
      </c>
      <c r="P227" s="31">
        <f t="shared" si="48"/>
        <v>502.62373031582683</v>
      </c>
      <c r="Q227" t="str">
        <f t="shared" si="49"/>
        <v>WT</v>
      </c>
      <c r="R227" s="32"/>
      <c r="S227" t="str">
        <f t="shared" si="50"/>
        <v>WT</v>
      </c>
    </row>
    <row r="228" spans="1:19" x14ac:dyDescent="0.2">
      <c r="A228" t="s">
        <v>664</v>
      </c>
      <c r="B228" s="29">
        <f t="shared" si="39"/>
        <v>45904.36146399963</v>
      </c>
      <c r="C228" s="29">
        <f t="shared" si="40"/>
        <v>45904.694797332966</v>
      </c>
      <c r="D228">
        <v>-31.981886366000001</v>
      </c>
      <c r="E228">
        <v>115.81874752500001</v>
      </c>
      <c r="F228">
        <v>1.3169999999999999</v>
      </c>
      <c r="G228">
        <v>0</v>
      </c>
      <c r="H228" s="30">
        <f t="shared" si="41"/>
        <v>5.2039008121937513</v>
      </c>
      <c r="I228" s="31">
        <f t="shared" si="42"/>
        <v>269.17510608403575</v>
      </c>
      <c r="J228" t="b">
        <f t="shared" si="43"/>
        <v>1</v>
      </c>
      <c r="K228" t="b">
        <f t="shared" si="44"/>
        <v>0</v>
      </c>
      <c r="L228" t="b">
        <f t="shared" si="45"/>
        <v>0</v>
      </c>
      <c r="M228" t="b">
        <f t="shared" si="46"/>
        <v>1</v>
      </c>
      <c r="N228" t="b">
        <f t="shared" si="47"/>
        <v>0</v>
      </c>
      <c r="O228">
        <f t="shared" si="51"/>
        <v>7</v>
      </c>
      <c r="P228" s="31">
        <f t="shared" si="48"/>
        <v>502.62373031582683</v>
      </c>
      <c r="Q228" t="str">
        <f t="shared" si="49"/>
        <v>WT</v>
      </c>
      <c r="R228" s="32"/>
      <c r="S228" t="str">
        <f t="shared" si="50"/>
        <v>WT</v>
      </c>
    </row>
    <row r="229" spans="1:19" x14ac:dyDescent="0.2">
      <c r="A229" t="s">
        <v>665</v>
      </c>
      <c r="B229" s="29">
        <f t="shared" si="39"/>
        <v>45904.361524229964</v>
      </c>
      <c r="C229" s="29">
        <f t="shared" si="40"/>
        <v>45904.6948575633</v>
      </c>
      <c r="D229">
        <v>-31.981943508000001</v>
      </c>
      <c r="E229">
        <v>115.81874996800001</v>
      </c>
      <c r="F229">
        <v>1.222</v>
      </c>
      <c r="G229">
        <v>0</v>
      </c>
      <c r="H229" s="30">
        <f t="shared" si="41"/>
        <v>5.1772941369563341</v>
      </c>
      <c r="I229" s="31">
        <f t="shared" si="42"/>
        <v>270.92898322508103</v>
      </c>
      <c r="J229" t="b">
        <f t="shared" si="43"/>
        <v>1</v>
      </c>
      <c r="K229" t="b">
        <f t="shared" si="44"/>
        <v>0</v>
      </c>
      <c r="L229" t="b">
        <f t="shared" si="45"/>
        <v>0</v>
      </c>
      <c r="M229" t="b">
        <f t="shared" si="46"/>
        <v>1</v>
      </c>
      <c r="N229" t="b">
        <f t="shared" si="47"/>
        <v>0</v>
      </c>
      <c r="O229">
        <f t="shared" si="51"/>
        <v>7</v>
      </c>
      <c r="P229" s="31">
        <f t="shared" si="48"/>
        <v>502.62373031582683</v>
      </c>
      <c r="Q229" t="str">
        <f t="shared" si="49"/>
        <v>WT</v>
      </c>
      <c r="R229" s="32"/>
      <c r="S229" t="str">
        <f t="shared" si="50"/>
        <v>WT</v>
      </c>
    </row>
    <row r="230" spans="1:19" x14ac:dyDescent="0.2">
      <c r="A230" t="s">
        <v>666</v>
      </c>
      <c r="B230" s="29">
        <f t="shared" si="39"/>
        <v>45904.36158415235</v>
      </c>
      <c r="C230" s="29">
        <f t="shared" si="40"/>
        <v>45904.694917485685</v>
      </c>
      <c r="D230">
        <v>-31.982004449000002</v>
      </c>
      <c r="E230">
        <v>115.81874900699999</v>
      </c>
      <c r="F230">
        <v>1.3089999999999999</v>
      </c>
      <c r="G230">
        <v>0</v>
      </c>
      <c r="H230" s="30">
        <f t="shared" si="41"/>
        <v>5.0085877999663353</v>
      </c>
      <c r="I230" s="31">
        <f t="shared" si="42"/>
        <v>272.62687446358757</v>
      </c>
      <c r="J230" t="b">
        <f t="shared" si="43"/>
        <v>1</v>
      </c>
      <c r="K230" t="b">
        <f t="shared" si="44"/>
        <v>0</v>
      </c>
      <c r="L230" t="b">
        <f t="shared" si="45"/>
        <v>0</v>
      </c>
      <c r="M230" t="b">
        <f t="shared" si="46"/>
        <v>1</v>
      </c>
      <c r="N230" t="b">
        <f t="shared" si="47"/>
        <v>0</v>
      </c>
      <c r="O230">
        <f t="shared" si="51"/>
        <v>7</v>
      </c>
      <c r="P230" s="31">
        <f t="shared" si="48"/>
        <v>502.62373031582683</v>
      </c>
      <c r="Q230" t="str">
        <f t="shared" si="49"/>
        <v>WT</v>
      </c>
      <c r="R230" s="32"/>
      <c r="S230" t="str">
        <f t="shared" si="50"/>
        <v>WT</v>
      </c>
    </row>
    <row r="231" spans="1:19" x14ac:dyDescent="0.2">
      <c r="A231" t="s">
        <v>667</v>
      </c>
      <c r="B231" s="29">
        <f t="shared" si="39"/>
        <v>45904.361642122116</v>
      </c>
      <c r="C231" s="29">
        <f t="shared" si="40"/>
        <v>45904.694975455452</v>
      </c>
      <c r="D231">
        <v>-31.982062446</v>
      </c>
      <c r="E231">
        <v>115.81874779899999</v>
      </c>
      <c r="F231">
        <v>1.288</v>
      </c>
      <c r="G231">
        <v>0</v>
      </c>
      <c r="H231" s="30">
        <f t="shared" si="41"/>
        <v>5.1890352973714471</v>
      </c>
      <c r="I231" s="31">
        <f t="shared" si="42"/>
        <v>274.36204139522022</v>
      </c>
      <c r="J231" t="b">
        <f t="shared" si="43"/>
        <v>1</v>
      </c>
      <c r="K231" t="b">
        <f t="shared" si="44"/>
        <v>0</v>
      </c>
      <c r="L231" t="b">
        <f t="shared" si="45"/>
        <v>0</v>
      </c>
      <c r="M231" t="b">
        <f t="shared" si="46"/>
        <v>1</v>
      </c>
      <c r="N231" t="b">
        <f t="shared" si="47"/>
        <v>0</v>
      </c>
      <c r="O231">
        <f t="shared" si="51"/>
        <v>7</v>
      </c>
      <c r="P231" s="31">
        <f t="shared" si="48"/>
        <v>502.62373031582683</v>
      </c>
      <c r="Q231" t="str">
        <f t="shared" si="49"/>
        <v>WT</v>
      </c>
      <c r="R231" s="32"/>
      <c r="S231" t="str">
        <f t="shared" si="50"/>
        <v>WT</v>
      </c>
    </row>
    <row r="232" spans="1:19" x14ac:dyDescent="0.2">
      <c r="A232" t="s">
        <v>668</v>
      </c>
      <c r="B232" s="29">
        <f t="shared" si="39"/>
        <v>45904.361702180395</v>
      </c>
      <c r="C232" s="29">
        <f t="shared" si="40"/>
        <v>45904.695035513731</v>
      </c>
      <c r="D232">
        <v>-31.982122117999999</v>
      </c>
      <c r="E232">
        <v>115.818743795</v>
      </c>
      <c r="F232">
        <v>1.2809999999999999</v>
      </c>
      <c r="G232">
        <v>0</v>
      </c>
      <c r="H232" s="30">
        <f t="shared" si="41"/>
        <v>5.0096973543986678</v>
      </c>
      <c r="I232" s="31">
        <f t="shared" si="42"/>
        <v>276.04632362522426</v>
      </c>
      <c r="J232" t="b">
        <f t="shared" si="43"/>
        <v>1</v>
      </c>
      <c r="K232" t="b">
        <f t="shared" si="44"/>
        <v>0</v>
      </c>
      <c r="L232" t="b">
        <f t="shared" si="45"/>
        <v>0</v>
      </c>
      <c r="M232" t="b">
        <f t="shared" si="46"/>
        <v>1</v>
      </c>
      <c r="N232" t="b">
        <f t="shared" si="47"/>
        <v>0</v>
      </c>
      <c r="O232">
        <f t="shared" si="51"/>
        <v>7</v>
      </c>
      <c r="P232" s="31">
        <f t="shared" si="48"/>
        <v>502.62373031582683</v>
      </c>
      <c r="Q232" t="str">
        <f t="shared" si="49"/>
        <v>WT</v>
      </c>
      <c r="R232" s="32"/>
      <c r="S232" t="str">
        <f t="shared" si="50"/>
        <v>WT</v>
      </c>
    </row>
    <row r="233" spans="1:19" x14ac:dyDescent="0.2">
      <c r="A233" t="s">
        <v>669</v>
      </c>
      <c r="B233" s="29">
        <f t="shared" si="39"/>
        <v>45904.361760163003</v>
      </c>
      <c r="C233" s="29">
        <f t="shared" si="40"/>
        <v>45904.695093496339</v>
      </c>
      <c r="D233">
        <v>-31.982179742</v>
      </c>
      <c r="E233">
        <v>115.818742383</v>
      </c>
      <c r="F233">
        <v>1.2789999999999999</v>
      </c>
      <c r="G233">
        <v>0</v>
      </c>
      <c r="H233" s="30">
        <f t="shared" si="41"/>
        <v>5.2226588828489184</v>
      </c>
      <c r="I233" s="31">
        <f t="shared" si="42"/>
        <v>278.03175972122142</v>
      </c>
      <c r="J233" t="b">
        <f t="shared" si="43"/>
        <v>1</v>
      </c>
      <c r="K233" t="b">
        <f t="shared" si="44"/>
        <v>0</v>
      </c>
      <c r="L233" t="b">
        <f t="shared" si="45"/>
        <v>0</v>
      </c>
      <c r="M233" t="b">
        <f t="shared" si="46"/>
        <v>1</v>
      </c>
      <c r="N233" t="b">
        <f t="shared" si="47"/>
        <v>0</v>
      </c>
      <c r="O233">
        <f t="shared" si="51"/>
        <v>7</v>
      </c>
      <c r="P233" s="31">
        <f t="shared" si="48"/>
        <v>502.62373031582683</v>
      </c>
      <c r="Q233" t="str">
        <f t="shared" si="49"/>
        <v>WT</v>
      </c>
      <c r="R233" s="32"/>
      <c r="S233" t="str">
        <f t="shared" si="50"/>
        <v>WT</v>
      </c>
    </row>
    <row r="234" spans="1:19" x14ac:dyDescent="0.2">
      <c r="A234" t="s">
        <v>670</v>
      </c>
      <c r="B234" s="29">
        <f t="shared" si="39"/>
        <v>45904.361820610444</v>
      </c>
      <c r="C234" s="29">
        <f t="shared" si="40"/>
        <v>45904.69515394378</v>
      </c>
      <c r="D234">
        <v>-31.982237751</v>
      </c>
      <c r="E234">
        <v>115.81874102099999</v>
      </c>
      <c r="F234">
        <v>1.2350000000000001</v>
      </c>
      <c r="G234">
        <v>0</v>
      </c>
      <c r="H234" s="30">
        <f t="shared" si="41"/>
        <v>5.0179621204733849</v>
      </c>
      <c r="I234" s="31">
        <f t="shared" si="42"/>
        <v>280.16958931247166</v>
      </c>
      <c r="J234" t="b">
        <f t="shared" si="43"/>
        <v>1</v>
      </c>
      <c r="K234" t="b">
        <f t="shared" si="44"/>
        <v>0</v>
      </c>
      <c r="L234" t="b">
        <f t="shared" si="45"/>
        <v>0</v>
      </c>
      <c r="M234" t="b">
        <f t="shared" si="46"/>
        <v>1</v>
      </c>
      <c r="N234" t="b">
        <f t="shared" si="47"/>
        <v>0</v>
      </c>
      <c r="O234">
        <f t="shared" si="51"/>
        <v>7</v>
      </c>
      <c r="P234" s="31">
        <f t="shared" si="48"/>
        <v>502.62373031582683</v>
      </c>
      <c r="Q234" t="str">
        <f t="shared" si="49"/>
        <v>WT</v>
      </c>
      <c r="R234" s="32"/>
      <c r="S234" t="str">
        <f t="shared" si="50"/>
        <v>WT</v>
      </c>
    </row>
    <row r="235" spans="1:19" x14ac:dyDescent="0.2">
      <c r="A235" t="s">
        <v>671</v>
      </c>
      <c r="B235" s="29">
        <f t="shared" si="39"/>
        <v>45904.361878688709</v>
      </c>
      <c r="C235" s="29">
        <f t="shared" si="40"/>
        <v>45904.695212022045</v>
      </c>
      <c r="D235">
        <v>-31.982296488999999</v>
      </c>
      <c r="E235">
        <v>115.818740541</v>
      </c>
      <c r="F235">
        <v>1.302</v>
      </c>
      <c r="G235">
        <v>0</v>
      </c>
      <c r="H235" s="30">
        <f t="shared" si="41"/>
        <v>5.1907936111092567</v>
      </c>
      <c r="I235" s="31">
        <f t="shared" si="42"/>
        <v>282.54640120054279</v>
      </c>
      <c r="J235" t="b">
        <f t="shared" si="43"/>
        <v>1</v>
      </c>
      <c r="K235" t="b">
        <f t="shared" si="44"/>
        <v>0</v>
      </c>
      <c r="L235" t="b">
        <f t="shared" si="45"/>
        <v>0</v>
      </c>
      <c r="M235" t="b">
        <f t="shared" si="46"/>
        <v>1</v>
      </c>
      <c r="N235" t="b">
        <f t="shared" si="47"/>
        <v>0</v>
      </c>
      <c r="O235">
        <f t="shared" si="51"/>
        <v>7</v>
      </c>
      <c r="P235" s="31">
        <f t="shared" si="48"/>
        <v>502.62373031582683</v>
      </c>
      <c r="Q235" t="str">
        <f t="shared" si="49"/>
        <v>WT</v>
      </c>
      <c r="R235" s="32"/>
      <c r="S235" t="str">
        <f t="shared" si="50"/>
        <v>WT</v>
      </c>
    </row>
    <row r="236" spans="1:19" x14ac:dyDescent="0.2">
      <c r="A236" t="s">
        <v>672</v>
      </c>
      <c r="B236" s="29">
        <f t="shared" si="39"/>
        <v>45904.361938767339</v>
      </c>
      <c r="C236" s="29">
        <f t="shared" si="40"/>
        <v>45904.695272100675</v>
      </c>
      <c r="D236">
        <v>-31.982356667000001</v>
      </c>
      <c r="E236">
        <v>115.818736676</v>
      </c>
      <c r="F236">
        <v>1.2909999999999999</v>
      </c>
      <c r="G236">
        <v>0</v>
      </c>
      <c r="H236" s="30">
        <f t="shared" si="41"/>
        <v>5.1907540066167712</v>
      </c>
      <c r="I236" s="31">
        <f t="shared" si="42"/>
        <v>284.82462969599266</v>
      </c>
      <c r="J236" t="b">
        <f t="shared" si="43"/>
        <v>1</v>
      </c>
      <c r="K236" t="b">
        <f t="shared" si="44"/>
        <v>0</v>
      </c>
      <c r="L236" t="b">
        <f t="shared" si="45"/>
        <v>0</v>
      </c>
      <c r="M236" t="b">
        <f t="shared" si="46"/>
        <v>1</v>
      </c>
      <c r="N236" t="b">
        <f t="shared" si="47"/>
        <v>0</v>
      </c>
      <c r="O236">
        <f t="shared" si="51"/>
        <v>7</v>
      </c>
      <c r="P236" s="31">
        <f t="shared" si="48"/>
        <v>502.62373031582683</v>
      </c>
      <c r="Q236" t="str">
        <f t="shared" si="49"/>
        <v>WT</v>
      </c>
      <c r="R236" s="32"/>
      <c r="S236" t="str">
        <f t="shared" si="50"/>
        <v>WT</v>
      </c>
    </row>
    <row r="237" spans="1:19" x14ac:dyDescent="0.2">
      <c r="A237" t="s">
        <v>673</v>
      </c>
      <c r="B237" s="29">
        <f t="shared" si="39"/>
        <v>45904.36199884551</v>
      </c>
      <c r="C237" s="29">
        <f t="shared" si="40"/>
        <v>45904.695332178846</v>
      </c>
      <c r="D237">
        <v>-31.982417373000001</v>
      </c>
      <c r="E237">
        <v>115.81873600900001</v>
      </c>
      <c r="F237">
        <v>1.3</v>
      </c>
      <c r="G237">
        <v>0</v>
      </c>
      <c r="H237" s="30">
        <f t="shared" si="41"/>
        <v>5.1911745686084032</v>
      </c>
      <c r="I237" s="31">
        <f t="shared" si="42"/>
        <v>287.53950945241235</v>
      </c>
      <c r="J237" t="b">
        <f t="shared" si="43"/>
        <v>1</v>
      </c>
      <c r="K237" t="b">
        <f t="shared" si="44"/>
        <v>0</v>
      </c>
      <c r="L237" t="b">
        <f t="shared" si="45"/>
        <v>0</v>
      </c>
      <c r="M237" t="b">
        <f t="shared" si="46"/>
        <v>1</v>
      </c>
      <c r="N237" t="b">
        <f t="shared" si="47"/>
        <v>0</v>
      </c>
      <c r="O237">
        <f t="shared" si="51"/>
        <v>7</v>
      </c>
      <c r="P237" s="31">
        <f t="shared" si="48"/>
        <v>502.62373031582683</v>
      </c>
      <c r="Q237" t="str">
        <f t="shared" si="49"/>
        <v>WT</v>
      </c>
      <c r="R237" s="32"/>
      <c r="S237" t="str">
        <f t="shared" si="50"/>
        <v>WT</v>
      </c>
    </row>
    <row r="238" spans="1:19" x14ac:dyDescent="0.2">
      <c r="A238" t="s">
        <v>674</v>
      </c>
      <c r="B238" s="29">
        <f t="shared" si="39"/>
        <v>45904.362058928549</v>
      </c>
      <c r="C238" s="29">
        <f t="shared" si="40"/>
        <v>45904.695392261885</v>
      </c>
      <c r="D238">
        <v>-31.982477367000001</v>
      </c>
      <c r="E238">
        <v>115.818739675</v>
      </c>
      <c r="F238">
        <v>1.2869999999999999</v>
      </c>
      <c r="G238">
        <v>0</v>
      </c>
      <c r="H238" s="30">
        <f t="shared" si="41"/>
        <v>5.1892886403948069</v>
      </c>
      <c r="I238" s="31">
        <f t="shared" si="42"/>
        <v>290.71833298240102</v>
      </c>
      <c r="J238" t="b">
        <f t="shared" si="43"/>
        <v>1</v>
      </c>
      <c r="K238" t="b">
        <f t="shared" si="44"/>
        <v>0</v>
      </c>
      <c r="L238" t="b">
        <f t="shared" si="45"/>
        <v>0</v>
      </c>
      <c r="M238" t="b">
        <f t="shared" si="46"/>
        <v>1</v>
      </c>
      <c r="N238" t="b">
        <f t="shared" si="47"/>
        <v>0</v>
      </c>
      <c r="O238">
        <f t="shared" si="51"/>
        <v>7</v>
      </c>
      <c r="P238" s="31">
        <f t="shared" si="48"/>
        <v>502.62373031582683</v>
      </c>
      <c r="Q238" t="str">
        <f t="shared" si="49"/>
        <v>WT</v>
      </c>
      <c r="R238" s="32"/>
      <c r="S238" t="str">
        <f t="shared" si="50"/>
        <v>WT</v>
      </c>
    </row>
    <row r="239" spans="1:19" x14ac:dyDescent="0.2">
      <c r="A239" t="s">
        <v>675</v>
      </c>
      <c r="B239" s="29">
        <f t="shared" si="39"/>
        <v>45904.36211898976</v>
      </c>
      <c r="C239" s="29">
        <f t="shared" si="40"/>
        <v>45904.695452323096</v>
      </c>
      <c r="D239">
        <v>-31.982538140999999</v>
      </c>
      <c r="E239">
        <v>115.818738068</v>
      </c>
      <c r="F239">
        <v>1.3029999999999999</v>
      </c>
      <c r="G239">
        <v>0</v>
      </c>
      <c r="H239" s="30">
        <f t="shared" si="41"/>
        <v>5.0076404353603721</v>
      </c>
      <c r="I239" s="31">
        <f t="shared" si="42"/>
        <v>293.61187929935846</v>
      </c>
      <c r="J239" t="b">
        <f t="shared" si="43"/>
        <v>1</v>
      </c>
      <c r="K239" t="b">
        <f t="shared" si="44"/>
        <v>0</v>
      </c>
      <c r="L239" t="b">
        <f t="shared" si="45"/>
        <v>0</v>
      </c>
      <c r="M239" t="b">
        <f t="shared" si="46"/>
        <v>1</v>
      </c>
      <c r="N239" t="b">
        <f t="shared" si="47"/>
        <v>0</v>
      </c>
      <c r="O239">
        <f t="shared" si="51"/>
        <v>7</v>
      </c>
      <c r="P239" s="31">
        <f t="shared" si="48"/>
        <v>502.62373031582683</v>
      </c>
      <c r="Q239" t="str">
        <f t="shared" si="49"/>
        <v>WT</v>
      </c>
      <c r="R239" s="32"/>
      <c r="S239" t="str">
        <f t="shared" si="50"/>
        <v>WT</v>
      </c>
    </row>
    <row r="240" spans="1:19" x14ac:dyDescent="0.2">
      <c r="A240" t="s">
        <v>676</v>
      </c>
      <c r="B240" s="29">
        <f t="shared" si="39"/>
        <v>45904.362176948562</v>
      </c>
      <c r="C240" s="29">
        <f t="shared" si="40"/>
        <v>45904.695510281897</v>
      </c>
      <c r="D240">
        <v>-31.982592740000001</v>
      </c>
      <c r="E240">
        <v>115.81873595499999</v>
      </c>
      <c r="F240">
        <v>1.2130000000000001</v>
      </c>
      <c r="G240">
        <v>0</v>
      </c>
      <c r="H240" s="30">
        <f t="shared" si="41"/>
        <v>5.2228003274649382</v>
      </c>
      <c r="I240" s="31">
        <f t="shared" si="42"/>
        <v>296.26325090915503</v>
      </c>
      <c r="J240" t="b">
        <f t="shared" si="43"/>
        <v>1</v>
      </c>
      <c r="K240" t="b">
        <f t="shared" si="44"/>
        <v>0</v>
      </c>
      <c r="L240" t="b">
        <f t="shared" si="45"/>
        <v>0</v>
      </c>
      <c r="M240" t="b">
        <f t="shared" si="46"/>
        <v>1</v>
      </c>
      <c r="N240" t="b">
        <f t="shared" si="47"/>
        <v>0</v>
      </c>
      <c r="O240">
        <f t="shared" si="51"/>
        <v>7</v>
      </c>
      <c r="P240" s="31">
        <f t="shared" si="48"/>
        <v>502.62373031582683</v>
      </c>
      <c r="Q240" t="str">
        <f t="shared" si="49"/>
        <v>WT</v>
      </c>
      <c r="R240" s="32"/>
      <c r="S240" t="str">
        <f t="shared" si="50"/>
        <v>WT</v>
      </c>
    </row>
    <row r="241" spans="1:19" x14ac:dyDescent="0.2">
      <c r="A241" t="s">
        <v>677</v>
      </c>
      <c r="B241" s="29">
        <f t="shared" si="39"/>
        <v>45904.36223739764</v>
      </c>
      <c r="C241" s="29">
        <f t="shared" si="40"/>
        <v>45904.695570730975</v>
      </c>
      <c r="D241">
        <v>-31.982650577000001</v>
      </c>
      <c r="E241">
        <v>115.81873859</v>
      </c>
      <c r="F241">
        <v>1.232</v>
      </c>
      <c r="G241">
        <v>0</v>
      </c>
      <c r="H241" s="30">
        <f t="shared" si="41"/>
        <v>5.1809496944770217</v>
      </c>
      <c r="I241" s="31">
        <f t="shared" si="42"/>
        <v>299.58132445388941</v>
      </c>
      <c r="J241" t="b">
        <f t="shared" si="43"/>
        <v>1</v>
      </c>
      <c r="K241" t="b">
        <f t="shared" si="44"/>
        <v>0</v>
      </c>
      <c r="L241" t="b">
        <f t="shared" si="45"/>
        <v>0</v>
      </c>
      <c r="M241" t="b">
        <f t="shared" si="46"/>
        <v>1</v>
      </c>
      <c r="N241" t="b">
        <f t="shared" si="47"/>
        <v>0</v>
      </c>
      <c r="O241">
        <f t="shared" si="51"/>
        <v>7</v>
      </c>
      <c r="P241" s="31">
        <f t="shared" si="48"/>
        <v>502.62373031582683</v>
      </c>
      <c r="Q241" t="str">
        <f t="shared" si="49"/>
        <v>WT</v>
      </c>
      <c r="R241" s="32"/>
      <c r="S241" t="str">
        <f t="shared" si="50"/>
        <v>WT</v>
      </c>
    </row>
    <row r="242" spans="1:19" x14ac:dyDescent="0.2">
      <c r="A242" t="s">
        <v>678</v>
      </c>
      <c r="B242" s="29">
        <f t="shared" si="39"/>
        <v>45904.362297362335</v>
      </c>
      <c r="C242" s="29">
        <f t="shared" si="40"/>
        <v>45904.695630695671</v>
      </c>
      <c r="D242">
        <v>-31.982716484000001</v>
      </c>
      <c r="E242">
        <v>115.81874386699999</v>
      </c>
      <c r="F242">
        <v>1.4179999999999999</v>
      </c>
      <c r="G242">
        <v>0</v>
      </c>
      <c r="H242" s="30">
        <f t="shared" si="41"/>
        <v>5.0079981330782175</v>
      </c>
      <c r="I242" s="31">
        <f t="shared" si="42"/>
        <v>303.66934093607904</v>
      </c>
      <c r="J242" t="b">
        <f t="shared" si="43"/>
        <v>1</v>
      </c>
      <c r="K242" t="b">
        <f t="shared" si="44"/>
        <v>0</v>
      </c>
      <c r="L242" t="b">
        <f t="shared" si="45"/>
        <v>0</v>
      </c>
      <c r="M242" t="b">
        <f t="shared" si="46"/>
        <v>1</v>
      </c>
      <c r="N242" t="b">
        <f t="shared" si="47"/>
        <v>0</v>
      </c>
      <c r="O242">
        <f t="shared" si="51"/>
        <v>7</v>
      </c>
      <c r="P242" s="31">
        <f t="shared" si="48"/>
        <v>502.62373031582683</v>
      </c>
      <c r="Q242" t="str">
        <f t="shared" si="49"/>
        <v>WT</v>
      </c>
      <c r="R242" s="32"/>
      <c r="S242" t="str">
        <f t="shared" si="50"/>
        <v>WT</v>
      </c>
    </row>
    <row r="243" spans="1:19" x14ac:dyDescent="0.2">
      <c r="A243" t="s">
        <v>679</v>
      </c>
      <c r="B243" s="29">
        <f t="shared" si="39"/>
        <v>45904.362355325276</v>
      </c>
      <c r="C243" s="29">
        <f t="shared" si="40"/>
        <v>45904.695688658612</v>
      </c>
      <c r="D243">
        <v>-31.982779570999998</v>
      </c>
      <c r="E243">
        <v>115.818749458</v>
      </c>
      <c r="F243">
        <v>1.405</v>
      </c>
      <c r="G243">
        <v>0</v>
      </c>
      <c r="H243" s="30">
        <f t="shared" si="41"/>
        <v>5.1912474911659956</v>
      </c>
      <c r="I243" s="31">
        <f t="shared" si="42"/>
        <v>307.73921073680629</v>
      </c>
      <c r="J243" t="b">
        <f t="shared" si="43"/>
        <v>1</v>
      </c>
      <c r="K243" t="b">
        <f t="shared" si="44"/>
        <v>0</v>
      </c>
      <c r="L243" t="b">
        <f t="shared" si="45"/>
        <v>0</v>
      </c>
      <c r="M243" t="b">
        <f t="shared" si="46"/>
        <v>1</v>
      </c>
      <c r="N243" t="b">
        <f t="shared" si="47"/>
        <v>0</v>
      </c>
      <c r="O243">
        <f t="shared" si="51"/>
        <v>7</v>
      </c>
      <c r="P243" s="31">
        <f t="shared" si="48"/>
        <v>502.62373031582683</v>
      </c>
      <c r="Q243" t="str">
        <f t="shared" si="49"/>
        <v>WT</v>
      </c>
      <c r="R243" s="32"/>
      <c r="S243" t="str">
        <f t="shared" si="50"/>
        <v>WT</v>
      </c>
    </row>
    <row r="244" spans="1:19" x14ac:dyDescent="0.2">
      <c r="A244" t="s">
        <v>680</v>
      </c>
      <c r="B244" s="29">
        <f t="shared" si="39"/>
        <v>45904.362415409159</v>
      </c>
      <c r="C244" s="29">
        <f t="shared" si="40"/>
        <v>45904.695748742495</v>
      </c>
      <c r="D244">
        <v>-31.982841019999999</v>
      </c>
      <c r="E244">
        <v>115.818745557</v>
      </c>
      <c r="F244">
        <v>1.3180000000000001</v>
      </c>
      <c r="G244">
        <v>0</v>
      </c>
      <c r="H244" s="30">
        <f t="shared" si="41"/>
        <v>5.1986830774694681</v>
      </c>
      <c r="I244" s="31">
        <f t="shared" si="42"/>
        <v>311.06267310037015</v>
      </c>
      <c r="J244" t="b">
        <f t="shared" si="43"/>
        <v>1</v>
      </c>
      <c r="K244" t="b">
        <f t="shared" si="44"/>
        <v>0</v>
      </c>
      <c r="L244" t="b">
        <f t="shared" si="45"/>
        <v>0</v>
      </c>
      <c r="M244" t="b">
        <f t="shared" si="46"/>
        <v>1</v>
      </c>
      <c r="N244" t="b">
        <f t="shared" si="47"/>
        <v>0</v>
      </c>
      <c r="O244">
        <f t="shared" si="51"/>
        <v>7</v>
      </c>
      <c r="P244" s="31">
        <f t="shared" si="48"/>
        <v>502.62373031582683</v>
      </c>
      <c r="Q244" t="str">
        <f t="shared" si="49"/>
        <v>WT</v>
      </c>
      <c r="R244" s="32"/>
      <c r="S244" t="str">
        <f t="shared" si="50"/>
        <v>WT</v>
      </c>
    </row>
    <row r="245" spans="1:19" x14ac:dyDescent="0.2">
      <c r="A245" t="s">
        <v>681</v>
      </c>
      <c r="B245" s="29">
        <f t="shared" si="39"/>
        <v>45904.362475579102</v>
      </c>
      <c r="C245" s="29">
        <f t="shared" si="40"/>
        <v>45904.695808912438</v>
      </c>
      <c r="D245">
        <v>-31.982901888000001</v>
      </c>
      <c r="E245">
        <v>115.818741983</v>
      </c>
      <c r="F245">
        <v>1.304</v>
      </c>
      <c r="G245">
        <v>0</v>
      </c>
      <c r="H245" s="30">
        <f t="shared" si="41"/>
        <v>5.1864742068573833</v>
      </c>
      <c r="I245" s="31">
        <f t="shared" si="42"/>
        <v>314.48964281472433</v>
      </c>
      <c r="J245" t="b">
        <f t="shared" si="43"/>
        <v>1</v>
      </c>
      <c r="K245" t="b">
        <f t="shared" si="44"/>
        <v>0</v>
      </c>
      <c r="L245" t="b">
        <f t="shared" si="45"/>
        <v>0</v>
      </c>
      <c r="M245" t="b">
        <f t="shared" si="46"/>
        <v>1</v>
      </c>
      <c r="N245" t="b">
        <f t="shared" si="47"/>
        <v>0</v>
      </c>
      <c r="O245">
        <f t="shared" si="51"/>
        <v>7</v>
      </c>
      <c r="P245" s="31">
        <f t="shared" si="48"/>
        <v>502.62373031582683</v>
      </c>
      <c r="Q245" t="str">
        <f t="shared" si="49"/>
        <v>WT</v>
      </c>
      <c r="R245" s="32"/>
      <c r="S245" t="str">
        <f t="shared" si="50"/>
        <v>WT</v>
      </c>
    </row>
    <row r="246" spans="1:19" x14ac:dyDescent="0.2">
      <c r="A246" t="s">
        <v>682</v>
      </c>
      <c r="B246" s="29">
        <f t="shared" si="39"/>
        <v>45904.362535607739</v>
      </c>
      <c r="C246" s="29">
        <f t="shared" si="40"/>
        <v>45904.695868941075</v>
      </c>
      <c r="D246">
        <v>-31.982962569000001</v>
      </c>
      <c r="E246">
        <v>115.81874042600001</v>
      </c>
      <c r="F246">
        <v>1.3009999999999999</v>
      </c>
      <c r="G246">
        <v>0</v>
      </c>
      <c r="H246" s="30">
        <f t="shared" si="41"/>
        <v>5.0013866974040866</v>
      </c>
      <c r="I246" s="31">
        <f t="shared" si="42"/>
        <v>318.16844704010998</v>
      </c>
      <c r="J246" t="b">
        <f t="shared" si="43"/>
        <v>1</v>
      </c>
      <c r="K246" t="b">
        <f t="shared" si="44"/>
        <v>0</v>
      </c>
      <c r="L246" t="b">
        <f t="shared" si="45"/>
        <v>0</v>
      </c>
      <c r="M246" t="b">
        <f t="shared" si="46"/>
        <v>1</v>
      </c>
      <c r="N246" t="b">
        <f t="shared" si="47"/>
        <v>0</v>
      </c>
      <c r="O246">
        <f t="shared" si="51"/>
        <v>7</v>
      </c>
      <c r="P246" s="31">
        <f t="shared" si="48"/>
        <v>502.62373031582683</v>
      </c>
      <c r="Q246" t="str">
        <f t="shared" si="49"/>
        <v>WT</v>
      </c>
      <c r="R246" s="32"/>
      <c r="S246" t="str">
        <f t="shared" si="50"/>
        <v>WT</v>
      </c>
    </row>
    <row r="247" spans="1:19" x14ac:dyDescent="0.2">
      <c r="A247" t="s">
        <v>683</v>
      </c>
      <c r="B247" s="29">
        <f t="shared" si="39"/>
        <v>45904.362593494159</v>
      </c>
      <c r="C247" s="29">
        <f t="shared" si="40"/>
        <v>45904.695926827495</v>
      </c>
      <c r="D247">
        <v>-31.983018428000001</v>
      </c>
      <c r="E247">
        <v>115.81873877</v>
      </c>
      <c r="F247">
        <v>1.242</v>
      </c>
      <c r="G247">
        <v>0</v>
      </c>
      <c r="H247" s="30">
        <f t="shared" si="41"/>
        <v>5.2243455313146114</v>
      </c>
      <c r="I247" s="31">
        <f t="shared" si="42"/>
        <v>321.62585903140013</v>
      </c>
      <c r="J247" t="b">
        <f t="shared" si="43"/>
        <v>1</v>
      </c>
      <c r="K247" t="b">
        <f t="shared" si="44"/>
        <v>0</v>
      </c>
      <c r="L247" t="b">
        <f t="shared" si="45"/>
        <v>0</v>
      </c>
      <c r="M247" t="b">
        <f t="shared" si="46"/>
        <v>1</v>
      </c>
      <c r="N247" t="b">
        <f t="shared" si="47"/>
        <v>0</v>
      </c>
      <c r="O247">
        <f t="shared" si="51"/>
        <v>7</v>
      </c>
      <c r="P247" s="31">
        <f t="shared" si="48"/>
        <v>502.62373031582683</v>
      </c>
      <c r="Q247" t="str">
        <f t="shared" si="49"/>
        <v>WT</v>
      </c>
      <c r="R247" s="32"/>
      <c r="S247" t="str">
        <f t="shared" si="50"/>
        <v>WT</v>
      </c>
    </row>
    <row r="248" spans="1:19" x14ac:dyDescent="0.2">
      <c r="A248" t="s">
        <v>684</v>
      </c>
      <c r="B248" s="29">
        <f t="shared" si="39"/>
        <v>45904.362653961121</v>
      </c>
      <c r="C248" s="29">
        <f t="shared" si="40"/>
        <v>45904.695987294457</v>
      </c>
      <c r="D248">
        <v>-31.983078942999999</v>
      </c>
      <c r="E248">
        <v>115.818739705</v>
      </c>
      <c r="F248">
        <v>1.288</v>
      </c>
      <c r="G248">
        <v>0</v>
      </c>
      <c r="H248" s="30">
        <f t="shared" si="41"/>
        <v>5.0075480248779058</v>
      </c>
      <c r="I248" s="31">
        <f t="shared" si="42"/>
        <v>325.67030224409689</v>
      </c>
      <c r="J248" t="b">
        <f t="shared" si="43"/>
        <v>1</v>
      </c>
      <c r="K248" t="b">
        <f t="shared" si="44"/>
        <v>0</v>
      </c>
      <c r="L248" t="b">
        <f t="shared" si="45"/>
        <v>0</v>
      </c>
      <c r="M248" t="b">
        <f t="shared" si="46"/>
        <v>1</v>
      </c>
      <c r="N248" t="b">
        <f t="shared" si="47"/>
        <v>0</v>
      </c>
      <c r="O248">
        <f t="shared" si="51"/>
        <v>7</v>
      </c>
      <c r="P248" s="31">
        <f t="shared" si="48"/>
        <v>502.62373031582683</v>
      </c>
      <c r="Q248" t="str">
        <f t="shared" si="49"/>
        <v>WT</v>
      </c>
      <c r="R248" s="32"/>
      <c r="S248" t="str">
        <f t="shared" si="50"/>
        <v>WT</v>
      </c>
    </row>
    <row r="249" spans="1:19" x14ac:dyDescent="0.2">
      <c r="A249" t="s">
        <v>685</v>
      </c>
      <c r="B249" s="29">
        <f t="shared" si="39"/>
        <v>45904.362711918853</v>
      </c>
      <c r="C249" s="29">
        <f t="shared" si="40"/>
        <v>45904.696045252189</v>
      </c>
      <c r="D249">
        <v>-31.983137282000001</v>
      </c>
      <c r="E249">
        <v>115.81873810499999</v>
      </c>
      <c r="F249">
        <v>1.296</v>
      </c>
      <c r="G249">
        <v>0</v>
      </c>
      <c r="H249" s="30">
        <f t="shared" si="41"/>
        <v>5.0094270380213857</v>
      </c>
      <c r="I249" s="31">
        <f t="shared" si="42"/>
        <v>329.46542167154996</v>
      </c>
      <c r="J249" t="b">
        <f t="shared" si="43"/>
        <v>1</v>
      </c>
      <c r="K249" t="b">
        <f t="shared" si="44"/>
        <v>0</v>
      </c>
      <c r="L249" t="b">
        <f t="shared" si="45"/>
        <v>0</v>
      </c>
      <c r="M249" t="b">
        <f t="shared" si="46"/>
        <v>1</v>
      </c>
      <c r="N249" t="b">
        <f t="shared" si="47"/>
        <v>0</v>
      </c>
      <c r="O249">
        <f t="shared" si="51"/>
        <v>7</v>
      </c>
      <c r="P249" s="31">
        <f t="shared" si="48"/>
        <v>502.62373031582683</v>
      </c>
      <c r="Q249" t="str">
        <f t="shared" si="49"/>
        <v>WT</v>
      </c>
      <c r="R249" s="32"/>
      <c r="S249" t="str">
        <f t="shared" si="50"/>
        <v>WT</v>
      </c>
    </row>
    <row r="250" spans="1:19" x14ac:dyDescent="0.2">
      <c r="A250" t="s">
        <v>686</v>
      </c>
      <c r="B250" s="29">
        <f t="shared" si="39"/>
        <v>45904.362769898333</v>
      </c>
      <c r="C250" s="29">
        <f t="shared" si="40"/>
        <v>45904.696103231669</v>
      </c>
      <c r="D250">
        <v>-31.983194257000001</v>
      </c>
      <c r="E250">
        <v>115.81873785499999</v>
      </c>
      <c r="F250">
        <v>1.2649999999999999</v>
      </c>
      <c r="G250">
        <v>0</v>
      </c>
      <c r="H250" s="30">
        <f t="shared" si="41"/>
        <v>5.1775619387626648</v>
      </c>
      <c r="I250" s="31">
        <f t="shared" si="42"/>
        <v>333.34899178980521</v>
      </c>
      <c r="J250" t="b">
        <f t="shared" si="43"/>
        <v>1</v>
      </c>
      <c r="K250" t="b">
        <f t="shared" si="44"/>
        <v>0</v>
      </c>
      <c r="L250" t="b">
        <f t="shared" si="45"/>
        <v>0</v>
      </c>
      <c r="M250" t="b">
        <f t="shared" si="46"/>
        <v>1</v>
      </c>
      <c r="N250" t="b">
        <f t="shared" si="47"/>
        <v>0</v>
      </c>
      <c r="O250">
        <f t="shared" si="51"/>
        <v>7</v>
      </c>
      <c r="P250" s="31">
        <f t="shared" si="48"/>
        <v>502.62373031582683</v>
      </c>
      <c r="Q250" t="str">
        <f t="shared" si="49"/>
        <v>WT</v>
      </c>
      <c r="R250" s="32"/>
      <c r="S250" t="str">
        <f t="shared" si="50"/>
        <v>WT</v>
      </c>
    </row>
    <row r="251" spans="1:19" x14ac:dyDescent="0.2">
      <c r="A251" t="s">
        <v>687</v>
      </c>
      <c r="B251" s="29">
        <f t="shared" si="39"/>
        <v>45904.362829823818</v>
      </c>
      <c r="C251" s="29">
        <f t="shared" si="40"/>
        <v>45904.696163157154</v>
      </c>
      <c r="D251">
        <v>-31.983252048000001</v>
      </c>
      <c r="E251">
        <v>115.81873498</v>
      </c>
      <c r="F251">
        <v>1.242</v>
      </c>
      <c r="G251">
        <v>0</v>
      </c>
      <c r="H251" s="30">
        <f t="shared" si="41"/>
        <v>5.1909878617152572</v>
      </c>
      <c r="I251" s="31">
        <f t="shared" si="42"/>
        <v>337.17279507668405</v>
      </c>
      <c r="J251" t="b">
        <f t="shared" si="43"/>
        <v>1</v>
      </c>
      <c r="K251" t="b">
        <f t="shared" si="44"/>
        <v>0</v>
      </c>
      <c r="L251" t="b">
        <f t="shared" si="45"/>
        <v>0</v>
      </c>
      <c r="M251" t="b">
        <f t="shared" si="46"/>
        <v>1</v>
      </c>
      <c r="N251" t="b">
        <f t="shared" si="47"/>
        <v>0</v>
      </c>
      <c r="O251">
        <f t="shared" si="51"/>
        <v>7</v>
      </c>
      <c r="P251" s="31">
        <f t="shared" si="48"/>
        <v>502.62373031582683</v>
      </c>
      <c r="Q251" t="str">
        <f t="shared" si="49"/>
        <v>WT</v>
      </c>
      <c r="R251" s="32"/>
      <c r="S251" t="str">
        <f t="shared" si="50"/>
        <v>WT</v>
      </c>
    </row>
    <row r="252" spans="1:19" x14ac:dyDescent="0.2">
      <c r="A252" t="s">
        <v>688</v>
      </c>
      <c r="B252" s="29">
        <f t="shared" si="39"/>
        <v>45904.362889904696</v>
      </c>
      <c r="C252" s="29">
        <f t="shared" si="40"/>
        <v>45904.696223238032</v>
      </c>
      <c r="D252">
        <v>-31.983311212</v>
      </c>
      <c r="E252">
        <v>115.818737794</v>
      </c>
      <c r="F252">
        <v>1.268</v>
      </c>
      <c r="G252">
        <v>0</v>
      </c>
      <c r="H252" s="30">
        <f t="shared" si="41"/>
        <v>5.0075970590114594</v>
      </c>
      <c r="I252" s="31">
        <f t="shared" si="42"/>
        <v>341.58347380744988</v>
      </c>
      <c r="J252" t="b">
        <f t="shared" si="43"/>
        <v>1</v>
      </c>
      <c r="K252" t="b">
        <f t="shared" si="44"/>
        <v>0</v>
      </c>
      <c r="L252" t="b">
        <f t="shared" si="45"/>
        <v>0</v>
      </c>
      <c r="M252" t="b">
        <f t="shared" si="46"/>
        <v>1</v>
      </c>
      <c r="N252" t="b">
        <f t="shared" si="47"/>
        <v>0</v>
      </c>
      <c r="O252">
        <f t="shared" si="51"/>
        <v>7</v>
      </c>
      <c r="P252" s="31">
        <f t="shared" si="48"/>
        <v>502.62373031582683</v>
      </c>
      <c r="Q252" t="str">
        <f t="shared" si="49"/>
        <v>WT</v>
      </c>
      <c r="R252" s="32"/>
      <c r="S252" t="str">
        <f t="shared" si="50"/>
        <v>WT</v>
      </c>
    </row>
    <row r="253" spans="1:19" x14ac:dyDescent="0.2">
      <c r="A253" t="s">
        <v>689</v>
      </c>
      <c r="B253" s="29">
        <f t="shared" si="39"/>
        <v>45904.362947862995</v>
      </c>
      <c r="C253" s="29">
        <f t="shared" si="40"/>
        <v>45904.696281196331</v>
      </c>
      <c r="D253">
        <v>-31.983365604999999</v>
      </c>
      <c r="E253">
        <v>115.818737042</v>
      </c>
      <c r="F253">
        <v>1.208</v>
      </c>
      <c r="G253">
        <v>0</v>
      </c>
      <c r="H253" s="30">
        <f t="shared" si="41"/>
        <v>5.1925701554864645</v>
      </c>
      <c r="I253" s="31">
        <f t="shared" si="42"/>
        <v>345.46149090896904</v>
      </c>
      <c r="J253" t="b">
        <f t="shared" si="43"/>
        <v>1</v>
      </c>
      <c r="K253" t="b">
        <f t="shared" si="44"/>
        <v>0</v>
      </c>
      <c r="L253" t="b">
        <f t="shared" si="45"/>
        <v>0</v>
      </c>
      <c r="M253" t="b">
        <f t="shared" si="46"/>
        <v>1</v>
      </c>
      <c r="N253" t="b">
        <f t="shared" si="47"/>
        <v>0</v>
      </c>
      <c r="O253">
        <f t="shared" si="51"/>
        <v>7</v>
      </c>
      <c r="P253" s="31">
        <f t="shared" si="48"/>
        <v>502.62373031582683</v>
      </c>
      <c r="Q253" t="str">
        <f t="shared" si="49"/>
        <v>WT</v>
      </c>
      <c r="R253" s="32"/>
      <c r="S253" t="str">
        <f t="shared" si="50"/>
        <v>WT</v>
      </c>
    </row>
    <row r="254" spans="1:19" x14ac:dyDescent="0.2">
      <c r="A254" t="s">
        <v>690</v>
      </c>
      <c r="B254" s="29">
        <f t="shared" si="39"/>
        <v>45904.363007962187</v>
      </c>
      <c r="C254" s="29">
        <f t="shared" si="40"/>
        <v>45904.696341295523</v>
      </c>
      <c r="D254">
        <v>-31.983423155000001</v>
      </c>
      <c r="E254">
        <v>115.818734509</v>
      </c>
      <c r="F254">
        <v>1.2330000000000001</v>
      </c>
      <c r="G254">
        <v>0</v>
      </c>
      <c r="H254" s="30">
        <f t="shared" si="41"/>
        <v>5.0070840865373611</v>
      </c>
      <c r="I254" s="31">
        <f t="shared" si="42"/>
        <v>349.50943346877824</v>
      </c>
      <c r="J254" t="b">
        <f t="shared" si="43"/>
        <v>1</v>
      </c>
      <c r="K254" t="b">
        <f t="shared" si="44"/>
        <v>0</v>
      </c>
      <c r="L254" t="b">
        <f t="shared" si="45"/>
        <v>0</v>
      </c>
      <c r="M254" t="b">
        <f t="shared" si="46"/>
        <v>1</v>
      </c>
      <c r="N254" t="b">
        <f t="shared" si="47"/>
        <v>0</v>
      </c>
      <c r="O254">
        <f t="shared" si="51"/>
        <v>7</v>
      </c>
      <c r="P254" s="31">
        <f t="shared" si="48"/>
        <v>502.62373031582683</v>
      </c>
      <c r="Q254" t="str">
        <f t="shared" si="49"/>
        <v>WT</v>
      </c>
      <c r="R254" s="32"/>
      <c r="S254" t="str">
        <f t="shared" si="50"/>
        <v>WT</v>
      </c>
    </row>
    <row r="255" spans="1:19" x14ac:dyDescent="0.2">
      <c r="A255" t="s">
        <v>691</v>
      </c>
      <c r="B255" s="29">
        <f t="shared" si="39"/>
        <v>45904.363065914549</v>
      </c>
      <c r="C255" s="29">
        <f t="shared" si="40"/>
        <v>45904.696399247885</v>
      </c>
      <c r="D255">
        <v>-31.983480227000001</v>
      </c>
      <c r="E255">
        <v>115.818731101</v>
      </c>
      <c r="F255">
        <v>1.2689999999999999</v>
      </c>
      <c r="G255">
        <v>0</v>
      </c>
      <c r="H255" s="30">
        <f t="shared" si="41"/>
        <v>5.1822824170812964</v>
      </c>
      <c r="I255" s="31">
        <f t="shared" si="42"/>
        <v>353.53027218542422</v>
      </c>
      <c r="J255" t="b">
        <f t="shared" si="43"/>
        <v>1</v>
      </c>
      <c r="K255" t="b">
        <f t="shared" si="44"/>
        <v>0</v>
      </c>
      <c r="L255" t="b">
        <f t="shared" si="45"/>
        <v>0</v>
      </c>
      <c r="M255" t="b">
        <f t="shared" si="46"/>
        <v>1</v>
      </c>
      <c r="N255" t="b">
        <f t="shared" si="47"/>
        <v>0</v>
      </c>
      <c r="O255">
        <f t="shared" si="51"/>
        <v>7</v>
      </c>
      <c r="P255" s="31">
        <f t="shared" si="48"/>
        <v>502.62373031582683</v>
      </c>
      <c r="Q255" t="str">
        <f t="shared" si="49"/>
        <v>WT</v>
      </c>
      <c r="R255" s="32"/>
      <c r="S255" t="str">
        <f t="shared" si="50"/>
        <v>WT</v>
      </c>
    </row>
    <row r="256" spans="1:19" x14ac:dyDescent="0.2">
      <c r="A256" t="s">
        <v>692</v>
      </c>
      <c r="B256" s="29">
        <f t="shared" si="39"/>
        <v>45904.36312589467</v>
      </c>
      <c r="C256" s="29">
        <f t="shared" si="40"/>
        <v>45904.696459228006</v>
      </c>
      <c r="D256">
        <v>-31.983539936</v>
      </c>
      <c r="E256">
        <v>115.818733216</v>
      </c>
      <c r="F256">
        <v>1.282</v>
      </c>
      <c r="G256">
        <v>0</v>
      </c>
      <c r="H256" s="30">
        <f t="shared" si="41"/>
        <v>5.0068760057911277</v>
      </c>
      <c r="I256" s="31">
        <f t="shared" si="42"/>
        <v>358.19894221570939</v>
      </c>
      <c r="J256" t="b">
        <f t="shared" si="43"/>
        <v>1</v>
      </c>
      <c r="K256" t="b">
        <f t="shared" si="44"/>
        <v>0</v>
      </c>
      <c r="L256" t="b">
        <f t="shared" si="45"/>
        <v>0</v>
      </c>
      <c r="M256" t="b">
        <f t="shared" si="46"/>
        <v>1</v>
      </c>
      <c r="N256" t="b">
        <f t="shared" si="47"/>
        <v>0</v>
      </c>
      <c r="O256">
        <f t="shared" si="51"/>
        <v>7</v>
      </c>
      <c r="P256" s="31">
        <f t="shared" si="48"/>
        <v>502.62373031582683</v>
      </c>
      <c r="Q256" t="str">
        <f t="shared" si="49"/>
        <v>WT</v>
      </c>
      <c r="R256" s="32"/>
      <c r="S256" t="str">
        <f t="shared" si="50"/>
        <v>WT</v>
      </c>
    </row>
    <row r="257" spans="1:19" x14ac:dyDescent="0.2">
      <c r="A257" t="s">
        <v>693</v>
      </c>
      <c r="B257" s="29">
        <f t="shared" si="39"/>
        <v>45904.363183844624</v>
      </c>
      <c r="C257" s="29">
        <f t="shared" si="40"/>
        <v>45904.696517177959</v>
      </c>
      <c r="D257">
        <v>-31.983596328000001</v>
      </c>
      <c r="E257">
        <v>115.818731003</v>
      </c>
      <c r="F257">
        <v>1.2529999999999999</v>
      </c>
      <c r="G257">
        <v>0</v>
      </c>
      <c r="H257" s="30">
        <f t="shared" si="41"/>
        <v>5.2213418763130903</v>
      </c>
      <c r="I257" s="31">
        <f t="shared" si="42"/>
        <v>362.37930096552697</v>
      </c>
      <c r="J257" t="b">
        <f t="shared" si="43"/>
        <v>1</v>
      </c>
      <c r="K257" t="b">
        <f t="shared" si="44"/>
        <v>0</v>
      </c>
      <c r="L257" t="b">
        <f t="shared" si="45"/>
        <v>0</v>
      </c>
      <c r="M257" t="b">
        <f t="shared" si="46"/>
        <v>1</v>
      </c>
      <c r="N257" t="b">
        <f t="shared" si="47"/>
        <v>0</v>
      </c>
      <c r="O257">
        <f t="shared" si="51"/>
        <v>7</v>
      </c>
      <c r="P257" s="31">
        <f t="shared" si="48"/>
        <v>502.62373031582683</v>
      </c>
      <c r="Q257" t="str">
        <f t="shared" si="49"/>
        <v>WT</v>
      </c>
      <c r="R257" s="32"/>
      <c r="S257" t="str">
        <f t="shared" si="50"/>
        <v>WT</v>
      </c>
    </row>
    <row r="258" spans="1:19" x14ac:dyDescent="0.2">
      <c r="A258" t="s">
        <v>694</v>
      </c>
      <c r="B258" s="29">
        <f t="shared" ref="B258:B321" si="52">DATE(VALUE(LEFT(A258,4)),VALUE(MID(A258,6,2)),VALUE(MID(A258,9,2)))+TIME(VALUE(MID(A258,12,2)),VALUE(MID(A258,15,2)),VALUE(MID(A258,18,2)))+IFERROR(VALUE(MID(A258,21,6)),0)/86400000000</f>
        <v>45904.363244276821</v>
      </c>
      <c r="C258" s="29">
        <f t="shared" ref="C258:C321" si="53">B258+UTC_OFFSET_H/24</f>
        <v>45904.696577610157</v>
      </c>
      <c r="D258">
        <v>-31.983655251999998</v>
      </c>
      <c r="E258">
        <v>115.818729729</v>
      </c>
      <c r="F258">
        <v>1.2549999999999999</v>
      </c>
      <c r="G258">
        <v>0</v>
      </c>
      <c r="H258" s="30">
        <f t="shared" ref="H258:H321" si="54">(B259-B258)*86400</f>
        <v>5.0066289491951466</v>
      </c>
      <c r="I258" s="31">
        <f t="shared" ref="I258:I321" si="55">2*6371000*ASIN(SQRT(SIN((RADIANS(D258)-RADIANS(DEPOT_LAT))/2)^2+COS(RADIANS(DEPOT_LAT))*COS(RADIANS(D258))*SIN((RADIANS(E258)-RADIANS(DEPOT_LON))/2)^2))</f>
        <v>366.88058655303212</v>
      </c>
      <c r="J258" t="b">
        <f t="shared" ref="J258:J321" si="56">AND(WEEKDAY(C258,2)&lt;=SERVICE_LAST_WEEKDAY,MOD(C258,1)&gt;=SERVICE_START,MOD(C258,1)&lt;SERVICE_END)</f>
        <v>1</v>
      </c>
      <c r="K258" t="b">
        <f t="shared" ref="K258:K321" si="57">F258&lt;SPEED_STOP_MPS</f>
        <v>0</v>
      </c>
      <c r="L258" t="b">
        <f t="shared" ref="L258:L321" si="58">I258&lt;=DEPOT_RADIUS_M</f>
        <v>0</v>
      </c>
      <c r="M258" t="b">
        <f t="shared" ref="M258:M321" si="59">G258&gt;=0</f>
        <v>1</v>
      </c>
      <c r="N258" t="b">
        <f t="shared" ref="N258:N321" si="60">H258&gt;MAX_GAP_S</f>
        <v>0</v>
      </c>
      <c r="O258">
        <f t="shared" si="51"/>
        <v>7</v>
      </c>
      <c r="P258" s="31">
        <f t="shared" ref="P258:P321" si="61">SUMIFS($H$2:$H$440,$O$2:$O$440,O258)</f>
        <v>502.62373031582683</v>
      </c>
      <c r="Q258" t="str">
        <f t="shared" ref="Q258:Q321" si="62">IF(NOT(J258),"UT",IF(N258,IF(L258,"SB","OD"),IF(AND(K258,L258,P258&gt;=STANDBY_DWELL_S),"SB",IF(AND(K258,NOT(M258)),"OD",IF(AND(K258,NOT(L258),P258&gt;=DELAY_DWELL_S),"OD","WT")))))</f>
        <v>WT</v>
      </c>
      <c r="R258" s="32"/>
      <c r="S258" t="str">
        <f t="shared" ref="S258:S321" si="63">IF(R258&lt;&gt;"",R258,Q258)</f>
        <v>WT</v>
      </c>
    </row>
    <row r="259" spans="1:19" x14ac:dyDescent="0.2">
      <c r="A259" t="s">
        <v>695</v>
      </c>
      <c r="B259" s="29">
        <f t="shared" si="52"/>
        <v>45904.363302223916</v>
      </c>
      <c r="C259" s="29">
        <f t="shared" si="53"/>
        <v>45904.696635557251</v>
      </c>
      <c r="D259">
        <v>-31.983711201999999</v>
      </c>
      <c r="E259">
        <v>115.81873353</v>
      </c>
      <c r="F259">
        <v>1.2450000000000001</v>
      </c>
      <c r="G259">
        <v>0</v>
      </c>
      <c r="H259" s="30">
        <f t="shared" si="54"/>
        <v>5.0073166843503714</v>
      </c>
      <c r="I259" s="31">
        <f t="shared" si="55"/>
        <v>371.54262661016963</v>
      </c>
      <c r="J259" t="b">
        <f t="shared" si="56"/>
        <v>1</v>
      </c>
      <c r="K259" t="b">
        <f t="shared" si="57"/>
        <v>0</v>
      </c>
      <c r="L259" t="b">
        <f t="shared" si="58"/>
        <v>0</v>
      </c>
      <c r="M259" t="b">
        <f t="shared" si="59"/>
        <v>1</v>
      </c>
      <c r="N259" t="b">
        <f t="shared" si="60"/>
        <v>0</v>
      </c>
      <c r="O259">
        <f t="shared" ref="O259:O322" si="64">IF(AND(K259=K258,L259=L258),O258,O258+1)</f>
        <v>7</v>
      </c>
      <c r="P259" s="31">
        <f t="shared" si="61"/>
        <v>502.62373031582683</v>
      </c>
      <c r="Q259" t="str">
        <f t="shared" si="62"/>
        <v>WT</v>
      </c>
      <c r="R259" s="32"/>
      <c r="S259" t="str">
        <f t="shared" si="63"/>
        <v>WT</v>
      </c>
    </row>
    <row r="260" spans="1:19" x14ac:dyDescent="0.2">
      <c r="A260" t="s">
        <v>696</v>
      </c>
      <c r="B260" s="29">
        <f t="shared" si="52"/>
        <v>45904.36336017897</v>
      </c>
      <c r="C260" s="29">
        <f t="shared" si="53"/>
        <v>45904.696693512306</v>
      </c>
      <c r="D260">
        <v>-31.983771256000001</v>
      </c>
      <c r="E260">
        <v>115.818735563</v>
      </c>
      <c r="F260">
        <v>1.3340000000000001</v>
      </c>
      <c r="G260">
        <v>0</v>
      </c>
      <c r="H260" s="30">
        <f t="shared" si="54"/>
        <v>5.1703759236261249</v>
      </c>
      <c r="I260" s="31">
        <f t="shared" si="55"/>
        <v>376.46337628333021</v>
      </c>
      <c r="J260" t="b">
        <f t="shared" si="56"/>
        <v>1</v>
      </c>
      <c r="K260" t="b">
        <f t="shared" si="57"/>
        <v>0</v>
      </c>
      <c r="L260" t="b">
        <f t="shared" si="58"/>
        <v>0</v>
      </c>
      <c r="M260" t="b">
        <f t="shared" si="59"/>
        <v>1</v>
      </c>
      <c r="N260" t="b">
        <f t="shared" si="60"/>
        <v>0</v>
      </c>
      <c r="O260">
        <f t="shared" si="64"/>
        <v>7</v>
      </c>
      <c r="P260" s="31">
        <f t="shared" si="61"/>
        <v>502.62373031582683</v>
      </c>
      <c r="Q260" t="str">
        <f t="shared" si="62"/>
        <v>WT</v>
      </c>
      <c r="R260" s="32"/>
      <c r="S260" t="str">
        <f t="shared" si="63"/>
        <v>WT</v>
      </c>
    </row>
    <row r="261" spans="1:19" x14ac:dyDescent="0.2">
      <c r="A261" t="s">
        <v>697</v>
      </c>
      <c r="B261" s="29">
        <f t="shared" si="52"/>
        <v>45904.363420021284</v>
      </c>
      <c r="C261" s="29">
        <f t="shared" si="53"/>
        <v>45904.696753354619</v>
      </c>
      <c r="D261">
        <v>-31.983834600000002</v>
      </c>
      <c r="E261">
        <v>115.81873754</v>
      </c>
      <c r="F261">
        <v>1.363</v>
      </c>
      <c r="G261">
        <v>0</v>
      </c>
      <c r="H261" s="30">
        <f t="shared" si="54"/>
        <v>5.0094018923118711</v>
      </c>
      <c r="I261" s="31">
        <f t="shared" si="55"/>
        <v>381.70087015709146</v>
      </c>
      <c r="J261" t="b">
        <f t="shared" si="56"/>
        <v>1</v>
      </c>
      <c r="K261" t="b">
        <f t="shared" si="57"/>
        <v>0</v>
      </c>
      <c r="L261" t="b">
        <f t="shared" si="58"/>
        <v>0</v>
      </c>
      <c r="M261" t="b">
        <f t="shared" si="59"/>
        <v>1</v>
      </c>
      <c r="N261" t="b">
        <f t="shared" si="60"/>
        <v>0</v>
      </c>
      <c r="O261">
        <f t="shared" si="64"/>
        <v>7</v>
      </c>
      <c r="P261" s="31">
        <f t="shared" si="61"/>
        <v>502.62373031582683</v>
      </c>
      <c r="Q261" t="str">
        <f t="shared" si="62"/>
        <v>WT</v>
      </c>
      <c r="R261" s="32"/>
      <c r="S261" t="str">
        <f t="shared" si="63"/>
        <v>WT</v>
      </c>
    </row>
    <row r="262" spans="1:19" x14ac:dyDescent="0.2">
      <c r="A262" t="s">
        <v>698</v>
      </c>
      <c r="B262" s="29">
        <f t="shared" si="52"/>
        <v>45904.363478000472</v>
      </c>
      <c r="C262" s="29">
        <f t="shared" si="53"/>
        <v>45904.696811333808</v>
      </c>
      <c r="D262">
        <v>-31.983892915999999</v>
      </c>
      <c r="E262">
        <v>115.818738505</v>
      </c>
      <c r="F262">
        <v>1.2949999999999999</v>
      </c>
      <c r="G262">
        <v>0</v>
      </c>
      <c r="H262" s="30">
        <f t="shared" si="54"/>
        <v>5.1892333198338747</v>
      </c>
      <c r="I262" s="31">
        <f t="shared" si="55"/>
        <v>386.51895345768344</v>
      </c>
      <c r="J262" t="b">
        <f t="shared" si="56"/>
        <v>1</v>
      </c>
      <c r="K262" t="b">
        <f t="shared" si="57"/>
        <v>0</v>
      </c>
      <c r="L262" t="b">
        <f t="shared" si="58"/>
        <v>0</v>
      </c>
      <c r="M262" t="b">
        <f t="shared" si="59"/>
        <v>1</v>
      </c>
      <c r="N262" t="b">
        <f t="shared" si="60"/>
        <v>0</v>
      </c>
      <c r="O262">
        <f t="shared" si="64"/>
        <v>7</v>
      </c>
      <c r="P262" s="31">
        <f t="shared" si="61"/>
        <v>502.62373031582683</v>
      </c>
      <c r="Q262" t="str">
        <f t="shared" si="62"/>
        <v>WT</v>
      </c>
      <c r="R262" s="32"/>
      <c r="S262" t="str">
        <f t="shared" si="63"/>
        <v>WT</v>
      </c>
    </row>
    <row r="263" spans="1:19" x14ac:dyDescent="0.2">
      <c r="A263" t="s">
        <v>699</v>
      </c>
      <c r="B263" s="29">
        <f t="shared" si="52"/>
        <v>45904.363538061043</v>
      </c>
      <c r="C263" s="29">
        <f t="shared" si="53"/>
        <v>45904.696871394379</v>
      </c>
      <c r="D263">
        <v>-31.983953973999999</v>
      </c>
      <c r="E263">
        <v>115.818734126</v>
      </c>
      <c r="F263">
        <v>1.3109999999999999</v>
      </c>
      <c r="G263">
        <v>0</v>
      </c>
      <c r="H263" s="30">
        <f t="shared" si="54"/>
        <v>5.0104819005355239</v>
      </c>
      <c r="I263" s="31">
        <f t="shared" si="55"/>
        <v>391.27628383840045</v>
      </c>
      <c r="J263" t="b">
        <f t="shared" si="56"/>
        <v>1</v>
      </c>
      <c r="K263" t="b">
        <f t="shared" si="57"/>
        <v>0</v>
      </c>
      <c r="L263" t="b">
        <f t="shared" si="58"/>
        <v>0</v>
      </c>
      <c r="M263" t="b">
        <f t="shared" si="59"/>
        <v>1</v>
      </c>
      <c r="N263" t="b">
        <f t="shared" si="60"/>
        <v>0</v>
      </c>
      <c r="O263">
        <f t="shared" si="64"/>
        <v>7</v>
      </c>
      <c r="P263" s="31">
        <f t="shared" si="61"/>
        <v>502.62373031582683</v>
      </c>
      <c r="Q263" t="str">
        <f t="shared" si="62"/>
        <v>WT</v>
      </c>
      <c r="R263" s="32"/>
      <c r="S263" t="str">
        <f t="shared" si="63"/>
        <v>WT</v>
      </c>
    </row>
    <row r="264" spans="1:19" x14ac:dyDescent="0.2">
      <c r="A264" t="s">
        <v>700</v>
      </c>
      <c r="B264" s="29">
        <f t="shared" si="52"/>
        <v>45904.363596052732</v>
      </c>
      <c r="C264" s="29">
        <f t="shared" si="53"/>
        <v>45904.696929386067</v>
      </c>
      <c r="D264">
        <v>-31.984018538000001</v>
      </c>
      <c r="E264">
        <v>115.818733008</v>
      </c>
      <c r="F264">
        <v>1.4330000000000001</v>
      </c>
      <c r="G264">
        <v>0</v>
      </c>
      <c r="H264" s="30">
        <f t="shared" si="54"/>
        <v>5.0059311557561159</v>
      </c>
      <c r="I264" s="31">
        <f t="shared" si="55"/>
        <v>396.58925317303817</v>
      </c>
      <c r="J264" t="b">
        <f t="shared" si="56"/>
        <v>1</v>
      </c>
      <c r="K264" t="b">
        <f t="shared" si="57"/>
        <v>0</v>
      </c>
      <c r="L264" t="b">
        <f t="shared" si="58"/>
        <v>0</v>
      </c>
      <c r="M264" t="b">
        <f t="shared" si="59"/>
        <v>1</v>
      </c>
      <c r="N264" t="b">
        <f t="shared" si="60"/>
        <v>0</v>
      </c>
      <c r="O264">
        <f t="shared" si="64"/>
        <v>7</v>
      </c>
      <c r="P264" s="31">
        <f t="shared" si="61"/>
        <v>502.62373031582683</v>
      </c>
      <c r="Q264" t="str">
        <f t="shared" si="62"/>
        <v>WT</v>
      </c>
      <c r="R264" s="32"/>
      <c r="S264" t="str">
        <f t="shared" si="63"/>
        <v>WT</v>
      </c>
    </row>
    <row r="265" spans="1:19" x14ac:dyDescent="0.2">
      <c r="A265" t="s">
        <v>701</v>
      </c>
      <c r="B265" s="29">
        <f t="shared" si="52"/>
        <v>45904.36365399175</v>
      </c>
      <c r="C265" s="29">
        <f t="shared" si="53"/>
        <v>45904.696987325086</v>
      </c>
      <c r="D265">
        <v>-31.984081995</v>
      </c>
      <c r="E265">
        <v>115.818732943</v>
      </c>
      <c r="F265">
        <v>1.41</v>
      </c>
      <c r="G265">
        <v>0</v>
      </c>
      <c r="H265" s="30">
        <f t="shared" si="54"/>
        <v>5.1914851181209087</v>
      </c>
      <c r="I265" s="31">
        <f t="shared" si="55"/>
        <v>401.9308987346206</v>
      </c>
      <c r="J265" t="b">
        <f t="shared" si="56"/>
        <v>1</v>
      </c>
      <c r="K265" t="b">
        <f t="shared" si="57"/>
        <v>0</v>
      </c>
      <c r="L265" t="b">
        <f t="shared" si="58"/>
        <v>0</v>
      </c>
      <c r="M265" t="b">
        <f t="shared" si="59"/>
        <v>1</v>
      </c>
      <c r="N265" t="b">
        <f t="shared" si="60"/>
        <v>0</v>
      </c>
      <c r="O265">
        <f t="shared" si="64"/>
        <v>7</v>
      </c>
      <c r="P265" s="31">
        <f t="shared" si="61"/>
        <v>502.62373031582683</v>
      </c>
      <c r="Q265" t="str">
        <f t="shared" si="62"/>
        <v>WT</v>
      </c>
      <c r="R265" s="32"/>
      <c r="S265" t="str">
        <f t="shared" si="63"/>
        <v>WT</v>
      </c>
    </row>
    <row r="266" spans="1:19" x14ac:dyDescent="0.2">
      <c r="A266" t="s">
        <v>702</v>
      </c>
      <c r="B266" s="29">
        <f t="shared" si="52"/>
        <v>45904.363714078383</v>
      </c>
      <c r="C266" s="29">
        <f t="shared" si="53"/>
        <v>45904.697047411719</v>
      </c>
      <c r="D266">
        <v>-31.984135048999999</v>
      </c>
      <c r="E266">
        <v>115.818732075</v>
      </c>
      <c r="F266">
        <v>1.1359999999999999</v>
      </c>
      <c r="G266">
        <v>0</v>
      </c>
      <c r="H266" s="30">
        <f t="shared" si="54"/>
        <v>5.1798608852550387</v>
      </c>
      <c r="I266" s="31">
        <f t="shared" si="55"/>
        <v>406.38779013763582</v>
      </c>
      <c r="J266" t="b">
        <f t="shared" si="56"/>
        <v>1</v>
      </c>
      <c r="K266" t="b">
        <f t="shared" si="57"/>
        <v>0</v>
      </c>
      <c r="L266" t="b">
        <f t="shared" si="58"/>
        <v>0</v>
      </c>
      <c r="M266" t="b">
        <f t="shared" si="59"/>
        <v>1</v>
      </c>
      <c r="N266" t="b">
        <f t="shared" si="60"/>
        <v>0</v>
      </c>
      <c r="O266">
        <f t="shared" si="64"/>
        <v>7</v>
      </c>
      <c r="P266" s="31">
        <f t="shared" si="61"/>
        <v>502.62373031582683</v>
      </c>
      <c r="Q266" t="str">
        <f t="shared" si="62"/>
        <v>WT</v>
      </c>
      <c r="R266" s="32"/>
      <c r="S266" t="str">
        <f t="shared" si="63"/>
        <v>WT</v>
      </c>
    </row>
    <row r="267" spans="1:19" x14ac:dyDescent="0.2">
      <c r="A267" t="s">
        <v>703</v>
      </c>
      <c r="B267" s="29">
        <f t="shared" si="52"/>
        <v>45904.363774030477</v>
      </c>
      <c r="C267" s="29">
        <f t="shared" si="53"/>
        <v>45904.697107363812</v>
      </c>
      <c r="D267">
        <v>-31.984195424999999</v>
      </c>
      <c r="E267">
        <v>115.81873506399999</v>
      </c>
      <c r="F267">
        <v>1.2969999999999999</v>
      </c>
      <c r="G267">
        <v>0</v>
      </c>
      <c r="H267" s="30">
        <f t="shared" si="54"/>
        <v>5.0178081030026078</v>
      </c>
      <c r="I267" s="31">
        <f t="shared" si="55"/>
        <v>411.74142877345963</v>
      </c>
      <c r="J267" t="b">
        <f t="shared" si="56"/>
        <v>1</v>
      </c>
      <c r="K267" t="b">
        <f t="shared" si="57"/>
        <v>0</v>
      </c>
      <c r="L267" t="b">
        <f t="shared" si="58"/>
        <v>0</v>
      </c>
      <c r="M267" t="b">
        <f t="shared" si="59"/>
        <v>1</v>
      </c>
      <c r="N267" t="b">
        <f t="shared" si="60"/>
        <v>0</v>
      </c>
      <c r="O267">
        <f t="shared" si="64"/>
        <v>7</v>
      </c>
      <c r="P267" s="31">
        <f t="shared" si="61"/>
        <v>502.62373031582683</v>
      </c>
      <c r="Q267" t="str">
        <f t="shared" si="62"/>
        <v>WT</v>
      </c>
      <c r="R267" s="32"/>
      <c r="S267" t="str">
        <f t="shared" si="63"/>
        <v>WT</v>
      </c>
    </row>
    <row r="268" spans="1:19" x14ac:dyDescent="0.2">
      <c r="A268" t="s">
        <v>704</v>
      </c>
      <c r="B268" s="29">
        <f t="shared" si="52"/>
        <v>45904.363832106959</v>
      </c>
      <c r="C268" s="29">
        <f t="shared" si="53"/>
        <v>45904.697165440295</v>
      </c>
      <c r="D268">
        <v>-31.984253497000001</v>
      </c>
      <c r="E268">
        <v>115.81873797199999</v>
      </c>
      <c r="F268">
        <v>1.288</v>
      </c>
      <c r="G268">
        <v>0</v>
      </c>
      <c r="H268" s="30">
        <f t="shared" si="54"/>
        <v>5.4054399020969868</v>
      </c>
      <c r="I268" s="31">
        <f t="shared" si="55"/>
        <v>416.93003615711399</v>
      </c>
      <c r="J268" t="b">
        <f t="shared" si="56"/>
        <v>1</v>
      </c>
      <c r="K268" t="b">
        <f t="shared" si="57"/>
        <v>0</v>
      </c>
      <c r="L268" t="b">
        <f t="shared" si="58"/>
        <v>0</v>
      </c>
      <c r="M268" t="b">
        <f t="shared" si="59"/>
        <v>1</v>
      </c>
      <c r="N268" t="b">
        <f t="shared" si="60"/>
        <v>0</v>
      </c>
      <c r="O268">
        <f t="shared" si="64"/>
        <v>7</v>
      </c>
      <c r="P268" s="31">
        <f t="shared" si="61"/>
        <v>502.62373031582683</v>
      </c>
      <c r="Q268" t="str">
        <f t="shared" si="62"/>
        <v>WT</v>
      </c>
      <c r="R268" s="32"/>
      <c r="S268" t="str">
        <f t="shared" si="63"/>
        <v>WT</v>
      </c>
    </row>
    <row r="269" spans="1:19" x14ac:dyDescent="0.2">
      <c r="A269" t="s">
        <v>705</v>
      </c>
      <c r="B269" s="29">
        <f t="shared" si="52"/>
        <v>45904.363894669921</v>
      </c>
      <c r="C269" s="29">
        <f t="shared" si="53"/>
        <v>45904.697228003257</v>
      </c>
      <c r="D269">
        <v>-31.984315509000002</v>
      </c>
      <c r="E269">
        <v>115.81873928100001</v>
      </c>
      <c r="F269">
        <v>1.276</v>
      </c>
      <c r="G269">
        <v>0</v>
      </c>
      <c r="H269" s="30">
        <f t="shared" si="54"/>
        <v>5.1908237859606743</v>
      </c>
      <c r="I269" s="31">
        <f t="shared" si="55"/>
        <v>422.40470195893914</v>
      </c>
      <c r="J269" t="b">
        <f t="shared" si="56"/>
        <v>1</v>
      </c>
      <c r="K269" t="b">
        <f t="shared" si="57"/>
        <v>0</v>
      </c>
      <c r="L269" t="b">
        <f t="shared" si="58"/>
        <v>0</v>
      </c>
      <c r="M269" t="b">
        <f t="shared" si="59"/>
        <v>1</v>
      </c>
      <c r="N269" t="b">
        <f t="shared" si="60"/>
        <v>0</v>
      </c>
      <c r="O269">
        <f t="shared" si="64"/>
        <v>7</v>
      </c>
      <c r="P269" s="31">
        <f t="shared" si="61"/>
        <v>502.62373031582683</v>
      </c>
      <c r="Q269" t="str">
        <f t="shared" si="62"/>
        <v>WT</v>
      </c>
      <c r="R269" s="32"/>
      <c r="S269" t="str">
        <f t="shared" si="63"/>
        <v>WT</v>
      </c>
    </row>
    <row r="270" spans="1:19" x14ac:dyDescent="0.2">
      <c r="A270" t="s">
        <v>706</v>
      </c>
      <c r="B270" s="29">
        <f t="shared" si="52"/>
        <v>45904.3639547489</v>
      </c>
      <c r="C270" s="29">
        <f t="shared" si="53"/>
        <v>45904.697288082236</v>
      </c>
      <c r="D270">
        <v>-31.984373461000001</v>
      </c>
      <c r="E270">
        <v>115.81874116100001</v>
      </c>
      <c r="F270">
        <v>1.242</v>
      </c>
      <c r="G270">
        <v>0</v>
      </c>
      <c r="H270" s="30">
        <f t="shared" si="54"/>
        <v>5.1913329865783453</v>
      </c>
      <c r="I270" s="31">
        <f t="shared" si="55"/>
        <v>427.59598126803053</v>
      </c>
      <c r="J270" t="b">
        <f t="shared" si="56"/>
        <v>1</v>
      </c>
      <c r="K270" t="b">
        <f t="shared" si="57"/>
        <v>0</v>
      </c>
      <c r="L270" t="b">
        <f t="shared" si="58"/>
        <v>0</v>
      </c>
      <c r="M270" t="b">
        <f t="shared" si="59"/>
        <v>1</v>
      </c>
      <c r="N270" t="b">
        <f t="shared" si="60"/>
        <v>0</v>
      </c>
      <c r="O270">
        <f t="shared" si="64"/>
        <v>7</v>
      </c>
      <c r="P270" s="31">
        <f t="shared" si="61"/>
        <v>502.62373031582683</v>
      </c>
      <c r="Q270" t="str">
        <f t="shared" si="62"/>
        <v>WT</v>
      </c>
      <c r="R270" s="32"/>
      <c r="S270" t="str">
        <f t="shared" si="63"/>
        <v>WT</v>
      </c>
    </row>
    <row r="271" spans="1:19" x14ac:dyDescent="0.2">
      <c r="A271" t="s">
        <v>707</v>
      </c>
      <c r="B271" s="29">
        <f t="shared" si="52"/>
        <v>45904.364014833773</v>
      </c>
      <c r="C271" s="29">
        <f t="shared" si="53"/>
        <v>45904.697348167108</v>
      </c>
      <c r="D271">
        <v>-31.984434997000001</v>
      </c>
      <c r="E271">
        <v>115.81874120800001</v>
      </c>
      <c r="F271">
        <v>1.3180000000000001</v>
      </c>
      <c r="G271">
        <v>0</v>
      </c>
      <c r="H271" s="30">
        <f t="shared" si="54"/>
        <v>5.0163219915702939</v>
      </c>
      <c r="I271" s="31">
        <f t="shared" si="55"/>
        <v>433.03423723755145</v>
      </c>
      <c r="J271" t="b">
        <f t="shared" si="56"/>
        <v>1</v>
      </c>
      <c r="K271" t="b">
        <f t="shared" si="57"/>
        <v>0</v>
      </c>
      <c r="L271" t="b">
        <f t="shared" si="58"/>
        <v>0</v>
      </c>
      <c r="M271" t="b">
        <f t="shared" si="59"/>
        <v>1</v>
      </c>
      <c r="N271" t="b">
        <f t="shared" si="60"/>
        <v>0</v>
      </c>
      <c r="O271">
        <f t="shared" si="64"/>
        <v>7</v>
      </c>
      <c r="P271" s="31">
        <f t="shared" si="61"/>
        <v>502.62373031582683</v>
      </c>
      <c r="Q271" t="str">
        <f t="shared" si="62"/>
        <v>WT</v>
      </c>
      <c r="R271" s="32"/>
      <c r="S271" t="str">
        <f t="shared" si="63"/>
        <v>WT</v>
      </c>
    </row>
    <row r="272" spans="1:19" x14ac:dyDescent="0.2">
      <c r="A272" t="s">
        <v>708</v>
      </c>
      <c r="B272" s="29">
        <f t="shared" si="52"/>
        <v>45904.364072893055</v>
      </c>
      <c r="C272" s="29">
        <f t="shared" si="53"/>
        <v>45904.697406226391</v>
      </c>
      <c r="D272">
        <v>-31.984493581999999</v>
      </c>
      <c r="E272">
        <v>115.818740902</v>
      </c>
      <c r="F272">
        <v>1.2989999999999999</v>
      </c>
      <c r="G272">
        <v>0</v>
      </c>
      <c r="H272" s="30">
        <f t="shared" si="54"/>
        <v>5.0080383662134409</v>
      </c>
      <c r="I272" s="31">
        <f t="shared" si="55"/>
        <v>438.22853526386257</v>
      </c>
      <c r="J272" t="b">
        <f t="shared" si="56"/>
        <v>1</v>
      </c>
      <c r="K272" t="b">
        <f t="shared" si="57"/>
        <v>0</v>
      </c>
      <c r="L272" t="b">
        <f t="shared" si="58"/>
        <v>0</v>
      </c>
      <c r="M272" t="b">
        <f t="shared" si="59"/>
        <v>1</v>
      </c>
      <c r="N272" t="b">
        <f t="shared" si="60"/>
        <v>0</v>
      </c>
      <c r="O272">
        <f t="shared" si="64"/>
        <v>7</v>
      </c>
      <c r="P272" s="31">
        <f t="shared" si="61"/>
        <v>502.62373031582683</v>
      </c>
      <c r="Q272" t="str">
        <f t="shared" si="62"/>
        <v>WT</v>
      </c>
      <c r="R272" s="32"/>
      <c r="S272" t="str">
        <f t="shared" si="63"/>
        <v>WT</v>
      </c>
    </row>
    <row r="273" spans="1:19" x14ac:dyDescent="0.2">
      <c r="A273" t="s">
        <v>709</v>
      </c>
      <c r="B273" s="29">
        <f t="shared" si="52"/>
        <v>45904.364130856462</v>
      </c>
      <c r="C273" s="29">
        <f t="shared" si="53"/>
        <v>45904.697464189798</v>
      </c>
      <c r="D273">
        <v>-31.984553212000002</v>
      </c>
      <c r="E273">
        <v>115.81874032899999</v>
      </c>
      <c r="F273">
        <v>1.3240000000000001</v>
      </c>
      <c r="G273">
        <v>0</v>
      </c>
      <c r="H273" s="30">
        <f t="shared" si="54"/>
        <v>5.1691506989300251</v>
      </c>
      <c r="I273" s="31">
        <f t="shared" si="55"/>
        <v>443.53674109723244</v>
      </c>
      <c r="J273" t="b">
        <f t="shared" si="56"/>
        <v>1</v>
      </c>
      <c r="K273" t="b">
        <f t="shared" si="57"/>
        <v>0</v>
      </c>
      <c r="L273" t="b">
        <f t="shared" si="58"/>
        <v>0</v>
      </c>
      <c r="M273" t="b">
        <f t="shared" si="59"/>
        <v>1</v>
      </c>
      <c r="N273" t="b">
        <f t="shared" si="60"/>
        <v>0</v>
      </c>
      <c r="O273">
        <f t="shared" si="64"/>
        <v>7</v>
      </c>
      <c r="P273" s="31">
        <f t="shared" si="61"/>
        <v>502.62373031582683</v>
      </c>
      <c r="Q273" t="str">
        <f t="shared" si="62"/>
        <v>WT</v>
      </c>
      <c r="R273" s="32"/>
      <c r="S273" t="str">
        <f t="shared" si="63"/>
        <v>WT</v>
      </c>
    </row>
    <row r="274" spans="1:19" x14ac:dyDescent="0.2">
      <c r="A274" t="s">
        <v>710</v>
      </c>
      <c r="B274" s="29">
        <f t="shared" si="52"/>
        <v>45904.364190684595</v>
      </c>
      <c r="C274" s="29">
        <f t="shared" si="53"/>
        <v>45904.697524017931</v>
      </c>
      <c r="D274">
        <v>-31.984615221999999</v>
      </c>
      <c r="E274">
        <v>115.81874136899999</v>
      </c>
      <c r="F274">
        <v>1.3340000000000001</v>
      </c>
      <c r="G274">
        <v>0</v>
      </c>
      <c r="H274" s="30">
        <f t="shared" si="54"/>
        <v>5.0000099698081613</v>
      </c>
      <c r="I274" s="31">
        <f t="shared" si="55"/>
        <v>449.18387163337945</v>
      </c>
      <c r="J274" t="b">
        <f t="shared" si="56"/>
        <v>1</v>
      </c>
      <c r="K274" t="b">
        <f t="shared" si="57"/>
        <v>0</v>
      </c>
      <c r="L274" t="b">
        <f t="shared" si="58"/>
        <v>0</v>
      </c>
      <c r="M274" t="b">
        <f t="shared" si="59"/>
        <v>1</v>
      </c>
      <c r="N274" t="b">
        <f t="shared" si="60"/>
        <v>0</v>
      </c>
      <c r="O274">
        <f t="shared" si="64"/>
        <v>7</v>
      </c>
      <c r="P274" s="31">
        <f t="shared" si="61"/>
        <v>502.62373031582683</v>
      </c>
      <c r="Q274" t="str">
        <f t="shared" si="62"/>
        <v>WT</v>
      </c>
      <c r="R274" s="32"/>
      <c r="S274" t="str">
        <f t="shared" si="63"/>
        <v>WT</v>
      </c>
    </row>
    <row r="275" spans="1:19" x14ac:dyDescent="0.2">
      <c r="A275" t="s">
        <v>711</v>
      </c>
      <c r="B275" s="29">
        <f t="shared" si="52"/>
        <v>45904.364248555081</v>
      </c>
      <c r="C275" s="29">
        <f t="shared" si="53"/>
        <v>45904.697581888417</v>
      </c>
      <c r="D275">
        <v>-31.984674704</v>
      </c>
      <c r="E275">
        <v>115.818743075</v>
      </c>
      <c r="F275">
        <v>1.323</v>
      </c>
      <c r="G275">
        <v>0</v>
      </c>
      <c r="H275" s="30">
        <f t="shared" si="54"/>
        <v>5.0083363428711891</v>
      </c>
      <c r="I275" s="31">
        <f t="shared" si="55"/>
        <v>454.67158807969662</v>
      </c>
      <c r="J275" t="b">
        <f t="shared" si="56"/>
        <v>1</v>
      </c>
      <c r="K275" t="b">
        <f t="shared" si="57"/>
        <v>0</v>
      </c>
      <c r="L275" t="b">
        <f t="shared" si="58"/>
        <v>0</v>
      </c>
      <c r="M275" t="b">
        <f t="shared" si="59"/>
        <v>1</v>
      </c>
      <c r="N275" t="b">
        <f t="shared" si="60"/>
        <v>0</v>
      </c>
      <c r="O275">
        <f t="shared" si="64"/>
        <v>7</v>
      </c>
      <c r="P275" s="31">
        <f t="shared" si="61"/>
        <v>502.62373031582683</v>
      </c>
      <c r="Q275" t="str">
        <f t="shared" si="62"/>
        <v>WT</v>
      </c>
      <c r="R275" s="32"/>
      <c r="S275" t="str">
        <f t="shared" si="63"/>
        <v>WT</v>
      </c>
    </row>
    <row r="276" spans="1:19" x14ac:dyDescent="0.2">
      <c r="A276" t="s">
        <v>712</v>
      </c>
      <c r="B276" s="29">
        <f t="shared" si="52"/>
        <v>45904.364306521937</v>
      </c>
      <c r="C276" s="29">
        <f t="shared" si="53"/>
        <v>45904.697639855272</v>
      </c>
      <c r="D276">
        <v>-31.984732081000001</v>
      </c>
      <c r="E276">
        <v>115.818741092</v>
      </c>
      <c r="F276">
        <v>1.274</v>
      </c>
      <c r="G276">
        <v>0</v>
      </c>
      <c r="H276" s="30">
        <f t="shared" si="54"/>
        <v>5.0073870923370123</v>
      </c>
      <c r="I276" s="31">
        <f t="shared" si="55"/>
        <v>459.79861274930602</v>
      </c>
      <c r="J276" t="b">
        <f t="shared" si="56"/>
        <v>1</v>
      </c>
      <c r="K276" t="b">
        <f t="shared" si="57"/>
        <v>0</v>
      </c>
      <c r="L276" t="b">
        <f t="shared" si="58"/>
        <v>0</v>
      </c>
      <c r="M276" t="b">
        <f t="shared" si="59"/>
        <v>1</v>
      </c>
      <c r="N276" t="b">
        <f t="shared" si="60"/>
        <v>0</v>
      </c>
      <c r="O276">
        <f t="shared" si="64"/>
        <v>7</v>
      </c>
      <c r="P276" s="31">
        <f t="shared" si="61"/>
        <v>502.62373031582683</v>
      </c>
      <c r="Q276" t="str">
        <f t="shared" si="62"/>
        <v>WT</v>
      </c>
      <c r="R276" s="32"/>
      <c r="S276" t="str">
        <f t="shared" si="63"/>
        <v>WT</v>
      </c>
    </row>
    <row r="277" spans="1:19" x14ac:dyDescent="0.2">
      <c r="A277" t="s">
        <v>713</v>
      </c>
      <c r="B277" s="29">
        <f t="shared" si="52"/>
        <v>45904.364364477806</v>
      </c>
      <c r="C277" s="29">
        <f t="shared" si="53"/>
        <v>45904.697697811142</v>
      </c>
      <c r="D277">
        <v>-31.984786012000001</v>
      </c>
      <c r="E277">
        <v>115.81874452700001</v>
      </c>
      <c r="F277">
        <v>1.1990000000000001</v>
      </c>
      <c r="G277">
        <v>0</v>
      </c>
      <c r="H277" s="30">
        <f t="shared" si="54"/>
        <v>5.2226155065000057</v>
      </c>
      <c r="I277" s="31">
        <f t="shared" si="55"/>
        <v>464.92718588096164</v>
      </c>
      <c r="J277" t="b">
        <f t="shared" si="56"/>
        <v>1</v>
      </c>
      <c r="K277" t="b">
        <f t="shared" si="57"/>
        <v>0</v>
      </c>
      <c r="L277" t="b">
        <f t="shared" si="58"/>
        <v>0</v>
      </c>
      <c r="M277" t="b">
        <f t="shared" si="59"/>
        <v>1</v>
      </c>
      <c r="N277" t="b">
        <f t="shared" si="60"/>
        <v>0</v>
      </c>
      <c r="O277">
        <f t="shared" si="64"/>
        <v>7</v>
      </c>
      <c r="P277" s="31">
        <f t="shared" si="61"/>
        <v>502.62373031582683</v>
      </c>
      <c r="Q277" t="str">
        <f t="shared" si="62"/>
        <v>WT</v>
      </c>
      <c r="R277" s="32"/>
      <c r="S277" t="str">
        <f t="shared" si="63"/>
        <v>WT</v>
      </c>
    </row>
    <row r="278" spans="1:19" x14ac:dyDescent="0.2">
      <c r="A278" t="s">
        <v>714</v>
      </c>
      <c r="B278" s="29">
        <f t="shared" si="52"/>
        <v>45904.364424924745</v>
      </c>
      <c r="C278" s="29">
        <f t="shared" si="53"/>
        <v>45904.69775825808</v>
      </c>
      <c r="D278">
        <v>-31.984803045</v>
      </c>
      <c r="E278">
        <v>115.818745267</v>
      </c>
      <c r="F278">
        <v>0.36299999999999999</v>
      </c>
      <c r="G278">
        <v>0</v>
      </c>
      <c r="H278" s="30">
        <f t="shared" si="54"/>
        <v>5.0071092322468758</v>
      </c>
      <c r="I278" s="31">
        <f t="shared" si="55"/>
        <v>466.53303908375904</v>
      </c>
      <c r="J278" t="b">
        <f t="shared" si="56"/>
        <v>1</v>
      </c>
      <c r="K278" t="b">
        <f t="shared" si="57"/>
        <v>0</v>
      </c>
      <c r="L278" t="b">
        <f t="shared" si="58"/>
        <v>0</v>
      </c>
      <c r="M278" t="b">
        <f t="shared" si="59"/>
        <v>1</v>
      </c>
      <c r="N278" t="b">
        <f t="shared" si="60"/>
        <v>0</v>
      </c>
      <c r="O278">
        <f t="shared" si="64"/>
        <v>7</v>
      </c>
      <c r="P278" s="31">
        <f t="shared" si="61"/>
        <v>502.62373031582683</v>
      </c>
      <c r="Q278" t="str">
        <f t="shared" si="62"/>
        <v>WT</v>
      </c>
      <c r="R278" s="32"/>
      <c r="S278" t="str">
        <f t="shared" si="63"/>
        <v>WT</v>
      </c>
    </row>
    <row r="279" spans="1:19" x14ac:dyDescent="0.2">
      <c r="A279" t="s">
        <v>715</v>
      </c>
      <c r="B279" s="29">
        <f t="shared" si="52"/>
        <v>45904.364482877398</v>
      </c>
      <c r="C279" s="29">
        <f t="shared" si="53"/>
        <v>45904.697816210733</v>
      </c>
      <c r="D279">
        <v>-31.984803594999999</v>
      </c>
      <c r="E279">
        <v>115.818745546</v>
      </c>
      <c r="F279">
        <v>1.2999999999999999E-2</v>
      </c>
      <c r="G279">
        <v>0</v>
      </c>
      <c r="H279" s="30">
        <f t="shared" si="54"/>
        <v>5.1833209348842502</v>
      </c>
      <c r="I279" s="31">
        <f t="shared" si="55"/>
        <v>466.59842708936151</v>
      </c>
      <c r="J279" t="b">
        <f t="shared" si="56"/>
        <v>1</v>
      </c>
      <c r="K279" t="b">
        <f t="shared" si="57"/>
        <v>1</v>
      </c>
      <c r="L279" t="b">
        <f t="shared" si="58"/>
        <v>0</v>
      </c>
      <c r="M279" t="b">
        <f t="shared" si="59"/>
        <v>1</v>
      </c>
      <c r="N279" t="b">
        <f t="shared" si="60"/>
        <v>0</v>
      </c>
      <c r="O279">
        <f t="shared" si="64"/>
        <v>8</v>
      </c>
      <c r="P279" s="31">
        <f t="shared" si="61"/>
        <v>10.371985961683095</v>
      </c>
      <c r="Q279" t="str">
        <f t="shared" si="62"/>
        <v>OD</v>
      </c>
      <c r="R279" s="32"/>
      <c r="S279" t="str">
        <f t="shared" si="63"/>
        <v>OD</v>
      </c>
    </row>
    <row r="280" spans="1:19" x14ac:dyDescent="0.2">
      <c r="A280" t="s">
        <v>716</v>
      </c>
      <c r="B280" s="29">
        <f t="shared" si="52"/>
        <v>45904.364542869538</v>
      </c>
      <c r="C280" s="29">
        <f t="shared" si="53"/>
        <v>45904.697876202874</v>
      </c>
      <c r="D280">
        <v>-31.984805177999998</v>
      </c>
      <c r="E280">
        <v>115.818746179</v>
      </c>
      <c r="F280">
        <v>3.5999999999999997E-2</v>
      </c>
      <c r="G280">
        <v>0</v>
      </c>
      <c r="H280" s="30">
        <f t="shared" si="54"/>
        <v>5.1886650267988443</v>
      </c>
      <c r="I280" s="31">
        <f t="shared" si="55"/>
        <v>466.77763257244362</v>
      </c>
      <c r="J280" t="b">
        <f t="shared" si="56"/>
        <v>1</v>
      </c>
      <c r="K280" t="b">
        <f t="shared" si="57"/>
        <v>1</v>
      </c>
      <c r="L280" t="b">
        <f t="shared" si="58"/>
        <v>0</v>
      </c>
      <c r="M280" t="b">
        <f t="shared" si="59"/>
        <v>1</v>
      </c>
      <c r="N280" t="b">
        <f t="shared" si="60"/>
        <v>0</v>
      </c>
      <c r="O280">
        <f t="shared" si="64"/>
        <v>8</v>
      </c>
      <c r="P280" s="31">
        <f t="shared" si="61"/>
        <v>10.371985961683095</v>
      </c>
      <c r="Q280" t="str">
        <f t="shared" si="62"/>
        <v>OD</v>
      </c>
      <c r="R280" s="32"/>
      <c r="S280" t="str">
        <f t="shared" si="63"/>
        <v>OD</v>
      </c>
    </row>
    <row r="281" spans="1:19" x14ac:dyDescent="0.2">
      <c r="A281" t="s">
        <v>717</v>
      </c>
      <c r="B281" s="29">
        <f t="shared" si="52"/>
        <v>45904.364602923531</v>
      </c>
      <c r="C281" s="29">
        <f t="shared" si="53"/>
        <v>45904.697936256867</v>
      </c>
      <c r="D281">
        <v>-31.98483761</v>
      </c>
      <c r="E281">
        <v>115.8187506</v>
      </c>
      <c r="F281">
        <v>0.7</v>
      </c>
      <c r="G281">
        <v>0</v>
      </c>
      <c r="H281" s="30">
        <f t="shared" si="54"/>
        <v>5.1896444521844387</v>
      </c>
      <c r="I281" s="31">
        <f t="shared" si="55"/>
        <v>469.99995679438723</v>
      </c>
      <c r="J281" t="b">
        <f t="shared" si="56"/>
        <v>1</v>
      </c>
      <c r="K281" t="b">
        <f t="shared" si="57"/>
        <v>0</v>
      </c>
      <c r="L281" t="b">
        <f t="shared" si="58"/>
        <v>0</v>
      </c>
      <c r="M281" t="b">
        <f t="shared" si="59"/>
        <v>1</v>
      </c>
      <c r="N281" t="b">
        <f t="shared" si="60"/>
        <v>0</v>
      </c>
      <c r="O281">
        <f t="shared" si="64"/>
        <v>9</v>
      </c>
      <c r="P281" s="31">
        <f t="shared" si="61"/>
        <v>483.00455992575735</v>
      </c>
      <c r="Q281" t="str">
        <f t="shared" si="62"/>
        <v>WT</v>
      </c>
      <c r="R281" s="32"/>
      <c r="S281" t="str">
        <f t="shared" si="63"/>
        <v>WT</v>
      </c>
    </row>
    <row r="282" spans="1:19" x14ac:dyDescent="0.2">
      <c r="A282" t="s">
        <v>718</v>
      </c>
      <c r="B282" s="29">
        <f t="shared" si="52"/>
        <v>45904.364662988861</v>
      </c>
      <c r="C282" s="29">
        <f t="shared" si="53"/>
        <v>45904.697996322197</v>
      </c>
      <c r="D282">
        <v>-31.984868433999999</v>
      </c>
      <c r="E282">
        <v>115.81877015000001</v>
      </c>
      <c r="F282">
        <v>0.75</v>
      </c>
      <c r="G282">
        <v>0</v>
      </c>
      <c r="H282" s="30">
        <f t="shared" si="54"/>
        <v>5.019082990474999</v>
      </c>
      <c r="I282" s="31">
        <f t="shared" si="55"/>
        <v>473.87323222990864</v>
      </c>
      <c r="J282" t="b">
        <f t="shared" si="56"/>
        <v>1</v>
      </c>
      <c r="K282" t="b">
        <f t="shared" si="57"/>
        <v>0</v>
      </c>
      <c r="L282" t="b">
        <f t="shared" si="58"/>
        <v>0</v>
      </c>
      <c r="M282" t="b">
        <f t="shared" si="59"/>
        <v>1</v>
      </c>
      <c r="N282" t="b">
        <f t="shared" si="60"/>
        <v>0</v>
      </c>
      <c r="O282">
        <f t="shared" si="64"/>
        <v>9</v>
      </c>
      <c r="P282" s="31">
        <f t="shared" si="61"/>
        <v>483.00455992575735</v>
      </c>
      <c r="Q282" t="str">
        <f t="shared" si="62"/>
        <v>WT</v>
      </c>
      <c r="R282" s="32"/>
      <c r="S282" t="str">
        <f t="shared" si="63"/>
        <v>WT</v>
      </c>
    </row>
    <row r="283" spans="1:19" x14ac:dyDescent="0.2">
      <c r="A283" t="s">
        <v>719</v>
      </c>
      <c r="B283" s="29">
        <f t="shared" si="52"/>
        <v>45904.364721080099</v>
      </c>
      <c r="C283" s="29">
        <f t="shared" si="53"/>
        <v>45904.698054413435</v>
      </c>
      <c r="D283">
        <v>-31.984893521</v>
      </c>
      <c r="E283">
        <v>115.81879775199999</v>
      </c>
      <c r="F283">
        <v>0.76</v>
      </c>
      <c r="G283">
        <v>0</v>
      </c>
      <c r="H283" s="30">
        <f t="shared" si="54"/>
        <v>5.1810760516673326</v>
      </c>
      <c r="I283" s="31">
        <f t="shared" si="55"/>
        <v>477.64062936980986</v>
      </c>
      <c r="J283" t="b">
        <f t="shared" si="56"/>
        <v>1</v>
      </c>
      <c r="K283" t="b">
        <f t="shared" si="57"/>
        <v>0</v>
      </c>
      <c r="L283" t="b">
        <f t="shared" si="58"/>
        <v>0</v>
      </c>
      <c r="M283" t="b">
        <f t="shared" si="59"/>
        <v>1</v>
      </c>
      <c r="N283" t="b">
        <f t="shared" si="60"/>
        <v>0</v>
      </c>
      <c r="O283">
        <f t="shared" si="64"/>
        <v>9</v>
      </c>
      <c r="P283" s="31">
        <f t="shared" si="61"/>
        <v>483.00455992575735</v>
      </c>
      <c r="Q283" t="str">
        <f t="shared" si="62"/>
        <v>WT</v>
      </c>
      <c r="R283" s="32"/>
      <c r="S283" t="str">
        <f t="shared" si="63"/>
        <v>WT</v>
      </c>
    </row>
    <row r="284" spans="1:19" x14ac:dyDescent="0.2">
      <c r="A284" t="s">
        <v>720</v>
      </c>
      <c r="B284" s="29">
        <f t="shared" si="52"/>
        <v>45904.364781046257</v>
      </c>
      <c r="C284" s="29">
        <f t="shared" si="53"/>
        <v>45904.698114379593</v>
      </c>
      <c r="D284">
        <v>-31.984901121</v>
      </c>
      <c r="E284">
        <v>115.81884476899999</v>
      </c>
      <c r="F284">
        <v>0.871</v>
      </c>
      <c r="G284">
        <v>0</v>
      </c>
      <c r="H284" s="30">
        <f t="shared" si="54"/>
        <v>5.2215738454833627</v>
      </c>
      <c r="I284" s="31">
        <f t="shared" si="55"/>
        <v>480.8284742797764</v>
      </c>
      <c r="J284" t="b">
        <f t="shared" si="56"/>
        <v>1</v>
      </c>
      <c r="K284" t="b">
        <f t="shared" si="57"/>
        <v>0</v>
      </c>
      <c r="L284" t="b">
        <f t="shared" si="58"/>
        <v>0</v>
      </c>
      <c r="M284" t="b">
        <f t="shared" si="59"/>
        <v>1</v>
      </c>
      <c r="N284" t="b">
        <f t="shared" si="60"/>
        <v>0</v>
      </c>
      <c r="O284">
        <f t="shared" si="64"/>
        <v>9</v>
      </c>
      <c r="P284" s="31">
        <f t="shared" si="61"/>
        <v>483.00455992575735</v>
      </c>
      <c r="Q284" t="str">
        <f t="shared" si="62"/>
        <v>WT</v>
      </c>
      <c r="R284" s="32"/>
      <c r="S284" t="str">
        <f t="shared" si="63"/>
        <v>WT</v>
      </c>
    </row>
    <row r="285" spans="1:19" x14ac:dyDescent="0.2">
      <c r="A285" t="s">
        <v>721</v>
      </c>
      <c r="B285" s="29">
        <f t="shared" si="52"/>
        <v>45904.36484148114</v>
      </c>
      <c r="C285" s="29">
        <f t="shared" si="53"/>
        <v>45904.698174814475</v>
      </c>
      <c r="D285">
        <v>-31.984902963</v>
      </c>
      <c r="E285">
        <v>115.81891698</v>
      </c>
      <c r="F285">
        <v>1.3049999999999999</v>
      </c>
      <c r="G285">
        <v>0</v>
      </c>
      <c r="H285" s="30">
        <f t="shared" si="54"/>
        <v>5.1912808092311025</v>
      </c>
      <c r="I285" s="31">
        <f t="shared" si="55"/>
        <v>484.86941387968335</v>
      </c>
      <c r="J285" t="b">
        <f t="shared" si="56"/>
        <v>1</v>
      </c>
      <c r="K285" t="b">
        <f t="shared" si="57"/>
        <v>0</v>
      </c>
      <c r="L285" t="b">
        <f t="shared" si="58"/>
        <v>0</v>
      </c>
      <c r="M285" t="b">
        <f t="shared" si="59"/>
        <v>1</v>
      </c>
      <c r="N285" t="b">
        <f t="shared" si="60"/>
        <v>0</v>
      </c>
      <c r="O285">
        <f t="shared" si="64"/>
        <v>9</v>
      </c>
      <c r="P285" s="31">
        <f t="shared" si="61"/>
        <v>483.00455992575735</v>
      </c>
      <c r="Q285" t="str">
        <f t="shared" si="62"/>
        <v>WT</v>
      </c>
      <c r="R285" s="32"/>
      <c r="S285" t="str">
        <f t="shared" si="63"/>
        <v>WT</v>
      </c>
    </row>
    <row r="286" spans="1:19" x14ac:dyDescent="0.2">
      <c r="A286" t="s">
        <v>722</v>
      </c>
      <c r="B286" s="29">
        <f t="shared" si="52"/>
        <v>45904.364901565408</v>
      </c>
      <c r="C286" s="29">
        <f t="shared" si="53"/>
        <v>45904.698234898744</v>
      </c>
      <c r="D286">
        <v>-31.984903221</v>
      </c>
      <c r="E286">
        <v>115.81898444300001</v>
      </c>
      <c r="F286">
        <v>1.226</v>
      </c>
      <c r="G286">
        <v>0</v>
      </c>
      <c r="H286" s="30">
        <f t="shared" si="54"/>
        <v>5.007383949123323</v>
      </c>
      <c r="I286" s="31">
        <f t="shared" si="55"/>
        <v>488.56800968762752</v>
      </c>
      <c r="J286" t="b">
        <f t="shared" si="56"/>
        <v>1</v>
      </c>
      <c r="K286" t="b">
        <f t="shared" si="57"/>
        <v>0</v>
      </c>
      <c r="L286" t="b">
        <f t="shared" si="58"/>
        <v>0</v>
      </c>
      <c r="M286" t="b">
        <f t="shared" si="59"/>
        <v>1</v>
      </c>
      <c r="N286" t="b">
        <f t="shared" si="60"/>
        <v>0</v>
      </c>
      <c r="O286">
        <f t="shared" si="64"/>
        <v>9</v>
      </c>
      <c r="P286" s="31">
        <f t="shared" si="61"/>
        <v>483.00455992575735</v>
      </c>
      <c r="Q286" t="str">
        <f t="shared" si="62"/>
        <v>WT</v>
      </c>
      <c r="R286" s="32"/>
      <c r="S286" t="str">
        <f t="shared" si="63"/>
        <v>WT</v>
      </c>
    </row>
    <row r="287" spans="1:19" x14ac:dyDescent="0.2">
      <c r="A287" t="s">
        <v>723</v>
      </c>
      <c r="B287" s="29">
        <f t="shared" si="52"/>
        <v>45904.364959521241</v>
      </c>
      <c r="C287" s="29">
        <f t="shared" si="53"/>
        <v>45904.698292854577</v>
      </c>
      <c r="D287">
        <v>-31.984899713000001</v>
      </c>
      <c r="E287">
        <v>115.819057302</v>
      </c>
      <c r="F287">
        <v>1.375</v>
      </c>
      <c r="G287">
        <v>0</v>
      </c>
      <c r="H287" s="30">
        <f t="shared" si="54"/>
        <v>5.1901857135817409</v>
      </c>
      <c r="I287" s="31">
        <f t="shared" si="55"/>
        <v>492.28399900870539</v>
      </c>
      <c r="J287" t="b">
        <f t="shared" si="56"/>
        <v>1</v>
      </c>
      <c r="K287" t="b">
        <f t="shared" si="57"/>
        <v>0</v>
      </c>
      <c r="L287" t="b">
        <f t="shared" si="58"/>
        <v>0</v>
      </c>
      <c r="M287" t="b">
        <f t="shared" si="59"/>
        <v>1</v>
      </c>
      <c r="N287" t="b">
        <f t="shared" si="60"/>
        <v>0</v>
      </c>
      <c r="O287">
        <f t="shared" si="64"/>
        <v>9</v>
      </c>
      <c r="P287" s="31">
        <f t="shared" si="61"/>
        <v>483.00455992575735</v>
      </c>
      <c r="Q287" t="str">
        <f t="shared" si="62"/>
        <v>WT</v>
      </c>
      <c r="R287" s="32"/>
      <c r="S287" t="str">
        <f t="shared" si="63"/>
        <v>WT</v>
      </c>
    </row>
    <row r="288" spans="1:19" x14ac:dyDescent="0.2">
      <c r="A288" t="s">
        <v>724</v>
      </c>
      <c r="B288" s="29">
        <f t="shared" si="52"/>
        <v>45904.365019592835</v>
      </c>
      <c r="C288" s="29">
        <f t="shared" si="53"/>
        <v>45904.698352926171</v>
      </c>
      <c r="D288">
        <v>-31.984900139000001</v>
      </c>
      <c r="E288">
        <v>115.819124898</v>
      </c>
      <c r="F288">
        <v>1.228</v>
      </c>
      <c r="G288">
        <v>0</v>
      </c>
      <c r="H288" s="30">
        <f t="shared" si="54"/>
        <v>5.00689297914505</v>
      </c>
      <c r="I288" s="31">
        <f t="shared" si="55"/>
        <v>496.11952425687929</v>
      </c>
      <c r="J288" t="b">
        <f t="shared" si="56"/>
        <v>1</v>
      </c>
      <c r="K288" t="b">
        <f t="shared" si="57"/>
        <v>0</v>
      </c>
      <c r="L288" t="b">
        <f t="shared" si="58"/>
        <v>0</v>
      </c>
      <c r="M288" t="b">
        <f t="shared" si="59"/>
        <v>1</v>
      </c>
      <c r="N288" t="b">
        <f t="shared" si="60"/>
        <v>0</v>
      </c>
      <c r="O288">
        <f t="shared" si="64"/>
        <v>9</v>
      </c>
      <c r="P288" s="31">
        <f t="shared" si="61"/>
        <v>483.00455992575735</v>
      </c>
      <c r="Q288" t="str">
        <f t="shared" si="62"/>
        <v>WT</v>
      </c>
      <c r="R288" s="32"/>
      <c r="S288" t="str">
        <f t="shared" si="63"/>
        <v>WT</v>
      </c>
    </row>
    <row r="289" spans="1:19" x14ac:dyDescent="0.2">
      <c r="A289" t="s">
        <v>725</v>
      </c>
      <c r="B289" s="29">
        <f t="shared" si="52"/>
        <v>45904.365077542985</v>
      </c>
      <c r="C289" s="29">
        <f t="shared" si="53"/>
        <v>45904.698410876321</v>
      </c>
      <c r="D289">
        <v>-31.984901373</v>
      </c>
      <c r="E289">
        <v>115.81919132900001</v>
      </c>
      <c r="F289">
        <v>1.252</v>
      </c>
      <c r="G289">
        <v>0</v>
      </c>
      <c r="H289" s="30">
        <f t="shared" si="54"/>
        <v>5.1914750598371029</v>
      </c>
      <c r="I289" s="31">
        <f t="shared" si="55"/>
        <v>500.0114950847007</v>
      </c>
      <c r="J289" t="b">
        <f t="shared" si="56"/>
        <v>1</v>
      </c>
      <c r="K289" t="b">
        <f t="shared" si="57"/>
        <v>0</v>
      </c>
      <c r="L289" t="b">
        <f t="shared" si="58"/>
        <v>0</v>
      </c>
      <c r="M289" t="b">
        <f t="shared" si="59"/>
        <v>1</v>
      </c>
      <c r="N289" t="b">
        <f t="shared" si="60"/>
        <v>0</v>
      </c>
      <c r="O289">
        <f t="shared" si="64"/>
        <v>9</v>
      </c>
      <c r="P289" s="31">
        <f t="shared" si="61"/>
        <v>483.00455992575735</v>
      </c>
      <c r="Q289" t="str">
        <f t="shared" si="62"/>
        <v>WT</v>
      </c>
      <c r="R289" s="32"/>
      <c r="S289" t="str">
        <f t="shared" si="63"/>
        <v>WT</v>
      </c>
    </row>
    <row r="290" spans="1:19" x14ac:dyDescent="0.2">
      <c r="A290" t="s">
        <v>726</v>
      </c>
      <c r="B290" s="29">
        <f t="shared" si="52"/>
        <v>45904.365137629502</v>
      </c>
      <c r="C290" s="29">
        <f t="shared" si="53"/>
        <v>45904.698470962838</v>
      </c>
      <c r="D290">
        <v>-31.984901130000001</v>
      </c>
      <c r="E290">
        <v>115.819258717</v>
      </c>
      <c r="F290">
        <v>1.224</v>
      </c>
      <c r="G290">
        <v>0</v>
      </c>
      <c r="H290" s="30">
        <f t="shared" si="54"/>
        <v>5.2017552545294166</v>
      </c>
      <c r="I290" s="31">
        <f t="shared" si="55"/>
        <v>503.87745170267243</v>
      </c>
      <c r="J290" t="b">
        <f t="shared" si="56"/>
        <v>1</v>
      </c>
      <c r="K290" t="b">
        <f t="shared" si="57"/>
        <v>0</v>
      </c>
      <c r="L290" t="b">
        <f t="shared" si="58"/>
        <v>0</v>
      </c>
      <c r="M290" t="b">
        <f t="shared" si="59"/>
        <v>1</v>
      </c>
      <c r="N290" t="b">
        <f t="shared" si="60"/>
        <v>0</v>
      </c>
      <c r="O290">
        <f t="shared" si="64"/>
        <v>9</v>
      </c>
      <c r="P290" s="31">
        <f t="shared" si="61"/>
        <v>483.00455992575735</v>
      </c>
      <c r="Q290" t="str">
        <f t="shared" si="62"/>
        <v>WT</v>
      </c>
      <c r="R290" s="32"/>
      <c r="S290" t="str">
        <f t="shared" si="63"/>
        <v>WT</v>
      </c>
    </row>
    <row r="291" spans="1:19" x14ac:dyDescent="0.2">
      <c r="A291" t="s">
        <v>727</v>
      </c>
      <c r="B291" s="29">
        <f t="shared" si="52"/>
        <v>45904.365197835003</v>
      </c>
      <c r="C291" s="29">
        <f t="shared" si="53"/>
        <v>45904.698531168338</v>
      </c>
      <c r="D291">
        <v>-31.984901375</v>
      </c>
      <c r="E291">
        <v>115.819328805</v>
      </c>
      <c r="F291">
        <v>1.2709999999999999</v>
      </c>
      <c r="G291">
        <v>0</v>
      </c>
      <c r="H291" s="30">
        <f t="shared" si="54"/>
        <v>5.2326159551739693</v>
      </c>
      <c r="I291" s="31">
        <f t="shared" si="55"/>
        <v>507.99472702245129</v>
      </c>
      <c r="J291" t="b">
        <f t="shared" si="56"/>
        <v>1</v>
      </c>
      <c r="K291" t="b">
        <f t="shared" si="57"/>
        <v>0</v>
      </c>
      <c r="L291" t="b">
        <f t="shared" si="58"/>
        <v>0</v>
      </c>
      <c r="M291" t="b">
        <f t="shared" si="59"/>
        <v>1</v>
      </c>
      <c r="N291" t="b">
        <f t="shared" si="60"/>
        <v>0</v>
      </c>
      <c r="O291">
        <f t="shared" si="64"/>
        <v>9</v>
      </c>
      <c r="P291" s="31">
        <f t="shared" si="61"/>
        <v>483.00455992575735</v>
      </c>
      <c r="Q291" t="str">
        <f t="shared" si="62"/>
        <v>WT</v>
      </c>
      <c r="R291" s="32"/>
      <c r="S291" t="str">
        <f t="shared" si="63"/>
        <v>WT</v>
      </c>
    </row>
    <row r="292" spans="1:19" x14ac:dyDescent="0.2">
      <c r="A292" t="s">
        <v>728</v>
      </c>
      <c r="B292" s="29">
        <f t="shared" si="52"/>
        <v>45904.365258397687</v>
      </c>
      <c r="C292" s="29">
        <f t="shared" si="53"/>
        <v>45904.698591731023</v>
      </c>
      <c r="D292">
        <v>-31.984901064999999</v>
      </c>
      <c r="E292">
        <v>115.81939991599999</v>
      </c>
      <c r="F292">
        <v>1.282</v>
      </c>
      <c r="G292">
        <v>0</v>
      </c>
      <c r="H292" s="30">
        <f t="shared" si="54"/>
        <v>5.1796509185805917</v>
      </c>
      <c r="I292" s="31">
        <f t="shared" si="55"/>
        <v>512.177310936563</v>
      </c>
      <c r="J292" t="b">
        <f t="shared" si="56"/>
        <v>1</v>
      </c>
      <c r="K292" t="b">
        <f t="shared" si="57"/>
        <v>0</v>
      </c>
      <c r="L292" t="b">
        <f t="shared" si="58"/>
        <v>0</v>
      </c>
      <c r="M292" t="b">
        <f t="shared" si="59"/>
        <v>1</v>
      </c>
      <c r="N292" t="b">
        <f t="shared" si="60"/>
        <v>0</v>
      </c>
      <c r="O292">
        <f t="shared" si="64"/>
        <v>9</v>
      </c>
      <c r="P292" s="31">
        <f t="shared" si="61"/>
        <v>483.00455992575735</v>
      </c>
      <c r="Q292" t="str">
        <f t="shared" si="62"/>
        <v>WT</v>
      </c>
      <c r="R292" s="32"/>
      <c r="S292" t="str">
        <f t="shared" si="63"/>
        <v>WT</v>
      </c>
    </row>
    <row r="293" spans="1:19" x14ac:dyDescent="0.2">
      <c r="A293" t="s">
        <v>729</v>
      </c>
      <c r="B293" s="29">
        <f t="shared" si="52"/>
        <v>45904.365318347351</v>
      </c>
      <c r="C293" s="29">
        <f t="shared" si="53"/>
        <v>45904.698651680686</v>
      </c>
      <c r="D293">
        <v>-31.984899799000001</v>
      </c>
      <c r="E293">
        <v>115.819471347</v>
      </c>
      <c r="F293">
        <v>1.3009999999999999</v>
      </c>
      <c r="G293">
        <v>0</v>
      </c>
      <c r="H293" s="30">
        <f t="shared" si="54"/>
        <v>5.0084318965673447</v>
      </c>
      <c r="I293" s="31">
        <f t="shared" si="55"/>
        <v>516.35070546766531</v>
      </c>
      <c r="J293" t="b">
        <f t="shared" si="56"/>
        <v>1</v>
      </c>
      <c r="K293" t="b">
        <f t="shared" si="57"/>
        <v>0</v>
      </c>
      <c r="L293" t="b">
        <f t="shared" si="58"/>
        <v>0</v>
      </c>
      <c r="M293" t="b">
        <f t="shared" si="59"/>
        <v>1</v>
      </c>
      <c r="N293" t="b">
        <f t="shared" si="60"/>
        <v>0</v>
      </c>
      <c r="O293">
        <f t="shared" si="64"/>
        <v>9</v>
      </c>
      <c r="P293" s="31">
        <f t="shared" si="61"/>
        <v>483.00455992575735</v>
      </c>
      <c r="Q293" t="str">
        <f t="shared" si="62"/>
        <v>WT</v>
      </c>
      <c r="R293" s="32"/>
      <c r="S293" t="str">
        <f t="shared" si="63"/>
        <v>WT</v>
      </c>
    </row>
    <row r="294" spans="1:19" x14ac:dyDescent="0.2">
      <c r="A294" t="s">
        <v>730</v>
      </c>
      <c r="B294" s="29">
        <f t="shared" si="52"/>
        <v>45904.365376315312</v>
      </c>
      <c r="C294" s="29">
        <f t="shared" si="53"/>
        <v>45904.698709648648</v>
      </c>
      <c r="D294">
        <v>-31.984895894000001</v>
      </c>
      <c r="E294">
        <v>115.81953612</v>
      </c>
      <c r="F294">
        <v>1.2230000000000001</v>
      </c>
      <c r="G294">
        <v>0</v>
      </c>
      <c r="H294" s="30">
        <f t="shared" si="54"/>
        <v>5.1698950119316578</v>
      </c>
      <c r="I294" s="31">
        <f t="shared" si="55"/>
        <v>519.94780622226267</v>
      </c>
      <c r="J294" t="b">
        <f t="shared" si="56"/>
        <v>1</v>
      </c>
      <c r="K294" t="b">
        <f t="shared" si="57"/>
        <v>0</v>
      </c>
      <c r="L294" t="b">
        <f t="shared" si="58"/>
        <v>0</v>
      </c>
      <c r="M294" t="b">
        <f t="shared" si="59"/>
        <v>1</v>
      </c>
      <c r="N294" t="b">
        <f t="shared" si="60"/>
        <v>0</v>
      </c>
      <c r="O294">
        <f t="shared" si="64"/>
        <v>9</v>
      </c>
      <c r="P294" s="31">
        <f t="shared" si="61"/>
        <v>483.00455992575735</v>
      </c>
      <c r="Q294" t="str">
        <f t="shared" si="62"/>
        <v>WT</v>
      </c>
      <c r="R294" s="32"/>
      <c r="S294" t="str">
        <f t="shared" si="63"/>
        <v>WT</v>
      </c>
    </row>
    <row r="295" spans="1:19" x14ac:dyDescent="0.2">
      <c r="A295" t="s">
        <v>731</v>
      </c>
      <c r="B295" s="29">
        <f t="shared" si="52"/>
        <v>45904.36543615206</v>
      </c>
      <c r="C295" s="29">
        <f t="shared" si="53"/>
        <v>45904.698769485396</v>
      </c>
      <c r="D295">
        <v>-31.984898824999998</v>
      </c>
      <c r="E295">
        <v>115.819600604</v>
      </c>
      <c r="F295">
        <v>1.1779999999999999</v>
      </c>
      <c r="G295">
        <v>0</v>
      </c>
      <c r="H295" s="30">
        <f t="shared" si="54"/>
        <v>5.0104378955438733</v>
      </c>
      <c r="I295" s="31">
        <f t="shared" si="55"/>
        <v>524.1492620435647</v>
      </c>
      <c r="J295" t="b">
        <f t="shared" si="56"/>
        <v>1</v>
      </c>
      <c r="K295" t="b">
        <f t="shared" si="57"/>
        <v>0</v>
      </c>
      <c r="L295" t="b">
        <f t="shared" si="58"/>
        <v>0</v>
      </c>
      <c r="M295" t="b">
        <f t="shared" si="59"/>
        <v>1</v>
      </c>
      <c r="N295" t="b">
        <f t="shared" si="60"/>
        <v>0</v>
      </c>
      <c r="O295">
        <f t="shared" si="64"/>
        <v>9</v>
      </c>
      <c r="P295" s="31">
        <f t="shared" si="61"/>
        <v>483.00455992575735</v>
      </c>
      <c r="Q295" t="str">
        <f t="shared" si="62"/>
        <v>WT</v>
      </c>
      <c r="R295" s="32"/>
      <c r="S295" t="str">
        <f t="shared" si="63"/>
        <v>WT</v>
      </c>
    </row>
    <row r="296" spans="1:19" x14ac:dyDescent="0.2">
      <c r="A296" t="s">
        <v>732</v>
      </c>
      <c r="B296" s="29">
        <f t="shared" si="52"/>
        <v>45904.36549414324</v>
      </c>
      <c r="C296" s="29">
        <f t="shared" si="53"/>
        <v>45904.698827476575</v>
      </c>
      <c r="D296">
        <v>-31.984895184999999</v>
      </c>
      <c r="E296">
        <v>115.819662666</v>
      </c>
      <c r="F296">
        <v>1.171</v>
      </c>
      <c r="G296">
        <v>0</v>
      </c>
      <c r="H296" s="30">
        <f t="shared" si="54"/>
        <v>5.0075015053153038</v>
      </c>
      <c r="I296" s="31">
        <f t="shared" si="55"/>
        <v>527.68774867868262</v>
      </c>
      <c r="J296" t="b">
        <f t="shared" si="56"/>
        <v>1</v>
      </c>
      <c r="K296" t="b">
        <f t="shared" si="57"/>
        <v>0</v>
      </c>
      <c r="L296" t="b">
        <f t="shared" si="58"/>
        <v>0</v>
      </c>
      <c r="M296" t="b">
        <f t="shared" si="59"/>
        <v>1</v>
      </c>
      <c r="N296" t="b">
        <f t="shared" si="60"/>
        <v>0</v>
      </c>
      <c r="O296">
        <f t="shared" si="64"/>
        <v>9</v>
      </c>
      <c r="P296" s="31">
        <f t="shared" si="61"/>
        <v>483.00455992575735</v>
      </c>
      <c r="Q296" t="str">
        <f t="shared" si="62"/>
        <v>WT</v>
      </c>
      <c r="R296" s="32"/>
      <c r="S296" t="str">
        <f t="shared" si="63"/>
        <v>WT</v>
      </c>
    </row>
    <row r="297" spans="1:19" x14ac:dyDescent="0.2">
      <c r="A297" t="s">
        <v>733</v>
      </c>
      <c r="B297" s="29">
        <f t="shared" si="52"/>
        <v>45904.365552100433</v>
      </c>
      <c r="C297" s="29">
        <f t="shared" si="53"/>
        <v>45904.698885433769</v>
      </c>
      <c r="D297">
        <v>-31.984895819999998</v>
      </c>
      <c r="E297">
        <v>115.819717005</v>
      </c>
      <c r="F297">
        <v>1.024</v>
      </c>
      <c r="G297">
        <v>0</v>
      </c>
      <c r="H297" s="30">
        <f t="shared" si="54"/>
        <v>5.188264581374824</v>
      </c>
      <c r="I297" s="31">
        <f t="shared" si="55"/>
        <v>531.13697288735523</v>
      </c>
      <c r="J297" t="b">
        <f t="shared" si="56"/>
        <v>1</v>
      </c>
      <c r="K297" t="b">
        <f t="shared" si="57"/>
        <v>0</v>
      </c>
      <c r="L297" t="b">
        <f t="shared" si="58"/>
        <v>0</v>
      </c>
      <c r="M297" t="b">
        <f t="shared" si="59"/>
        <v>1</v>
      </c>
      <c r="N297" t="b">
        <f t="shared" si="60"/>
        <v>0</v>
      </c>
      <c r="O297">
        <f t="shared" si="64"/>
        <v>9</v>
      </c>
      <c r="P297" s="31">
        <f t="shared" si="61"/>
        <v>483.00455992575735</v>
      </c>
      <c r="Q297" t="str">
        <f t="shared" si="62"/>
        <v>WT</v>
      </c>
      <c r="R297" s="32"/>
      <c r="S297" t="str">
        <f t="shared" si="63"/>
        <v>WT</v>
      </c>
    </row>
    <row r="298" spans="1:19" x14ac:dyDescent="0.2">
      <c r="A298" t="s">
        <v>734</v>
      </c>
      <c r="B298" s="29">
        <f t="shared" si="52"/>
        <v>45904.365612149792</v>
      </c>
      <c r="C298" s="29">
        <f t="shared" si="53"/>
        <v>45904.698945483127</v>
      </c>
      <c r="D298">
        <v>-31.984897682</v>
      </c>
      <c r="E298">
        <v>115.81977451500001</v>
      </c>
      <c r="F298">
        <v>1.046</v>
      </c>
      <c r="G298">
        <v>0</v>
      </c>
      <c r="H298" s="30">
        <f t="shared" si="54"/>
        <v>5.007238732650876</v>
      </c>
      <c r="I298" s="31">
        <f t="shared" si="55"/>
        <v>534.91487510179513</v>
      </c>
      <c r="J298" t="b">
        <f t="shared" si="56"/>
        <v>1</v>
      </c>
      <c r="K298" t="b">
        <f t="shared" si="57"/>
        <v>0</v>
      </c>
      <c r="L298" t="b">
        <f t="shared" si="58"/>
        <v>0</v>
      </c>
      <c r="M298" t="b">
        <f t="shared" si="59"/>
        <v>1</v>
      </c>
      <c r="N298" t="b">
        <f t="shared" si="60"/>
        <v>0</v>
      </c>
      <c r="O298">
        <f t="shared" si="64"/>
        <v>9</v>
      </c>
      <c r="P298" s="31">
        <f t="shared" si="61"/>
        <v>483.00455992575735</v>
      </c>
      <c r="Q298" t="str">
        <f t="shared" si="62"/>
        <v>WT</v>
      </c>
      <c r="R298" s="32"/>
      <c r="S298" t="str">
        <f t="shared" si="63"/>
        <v>WT</v>
      </c>
    </row>
    <row r="299" spans="1:19" x14ac:dyDescent="0.2">
      <c r="A299" t="s">
        <v>735</v>
      </c>
      <c r="B299" s="29">
        <f t="shared" si="52"/>
        <v>45904.365670103944</v>
      </c>
      <c r="C299" s="29">
        <f t="shared" si="53"/>
        <v>45904.699003437279</v>
      </c>
      <c r="D299">
        <v>-31.984896075999998</v>
      </c>
      <c r="E299">
        <v>115.81982798200001</v>
      </c>
      <c r="F299">
        <v>1.008</v>
      </c>
      <c r="G299">
        <v>0</v>
      </c>
      <c r="H299" s="30">
        <f t="shared" si="54"/>
        <v>5.2026164950802922</v>
      </c>
      <c r="I299" s="31">
        <f t="shared" si="55"/>
        <v>538.17903895647714</v>
      </c>
      <c r="J299" t="b">
        <f t="shared" si="56"/>
        <v>1</v>
      </c>
      <c r="K299" t="b">
        <f t="shared" si="57"/>
        <v>0</v>
      </c>
      <c r="L299" t="b">
        <f t="shared" si="58"/>
        <v>0</v>
      </c>
      <c r="M299" t="b">
        <f t="shared" si="59"/>
        <v>1</v>
      </c>
      <c r="N299" t="b">
        <f t="shared" si="60"/>
        <v>0</v>
      </c>
      <c r="O299">
        <f t="shared" si="64"/>
        <v>9</v>
      </c>
      <c r="P299" s="31">
        <f t="shared" si="61"/>
        <v>483.00455992575735</v>
      </c>
      <c r="Q299" t="str">
        <f t="shared" si="62"/>
        <v>WT</v>
      </c>
      <c r="R299" s="32"/>
      <c r="S299" t="str">
        <f t="shared" si="63"/>
        <v>WT</v>
      </c>
    </row>
    <row r="300" spans="1:19" x14ac:dyDescent="0.2">
      <c r="A300" t="s">
        <v>736</v>
      </c>
      <c r="B300" s="29">
        <f t="shared" si="52"/>
        <v>45904.365730319412</v>
      </c>
      <c r="C300" s="29">
        <f t="shared" si="53"/>
        <v>45904.699063652748</v>
      </c>
      <c r="D300">
        <v>-31.984895563999999</v>
      </c>
      <c r="E300">
        <v>115.819894945</v>
      </c>
      <c r="F300">
        <v>1.214</v>
      </c>
      <c r="G300">
        <v>0</v>
      </c>
      <c r="H300" s="30">
        <f t="shared" si="54"/>
        <v>5.221736035309732</v>
      </c>
      <c r="I300" s="31">
        <f t="shared" si="55"/>
        <v>542.42749546305481</v>
      </c>
      <c r="J300" t="b">
        <f t="shared" si="56"/>
        <v>1</v>
      </c>
      <c r="K300" t="b">
        <f t="shared" si="57"/>
        <v>0</v>
      </c>
      <c r="L300" t="b">
        <f t="shared" si="58"/>
        <v>0</v>
      </c>
      <c r="M300" t="b">
        <f t="shared" si="59"/>
        <v>1</v>
      </c>
      <c r="N300" t="b">
        <f t="shared" si="60"/>
        <v>0</v>
      </c>
      <c r="O300">
        <f t="shared" si="64"/>
        <v>9</v>
      </c>
      <c r="P300" s="31">
        <f t="shared" si="61"/>
        <v>483.00455992575735</v>
      </c>
      <c r="Q300" t="str">
        <f t="shared" si="62"/>
        <v>WT</v>
      </c>
      <c r="R300" s="32"/>
      <c r="S300" t="str">
        <f t="shared" si="63"/>
        <v>WT</v>
      </c>
    </row>
    <row r="301" spans="1:19" x14ac:dyDescent="0.2">
      <c r="A301" t="s">
        <v>737</v>
      </c>
      <c r="B301" s="29">
        <f t="shared" si="52"/>
        <v>45904.365790756172</v>
      </c>
      <c r="C301" s="29">
        <f t="shared" si="53"/>
        <v>45904.699124089508</v>
      </c>
      <c r="D301">
        <v>-31.984895328</v>
      </c>
      <c r="E301">
        <v>115.819968788</v>
      </c>
      <c r="F301">
        <v>1.3340000000000001</v>
      </c>
      <c r="G301">
        <v>0</v>
      </c>
      <c r="H301" s="30">
        <f t="shared" si="54"/>
        <v>5.1907816668972373</v>
      </c>
      <c r="I301" s="31">
        <f t="shared" si="55"/>
        <v>547.18520787265606</v>
      </c>
      <c r="J301" t="b">
        <f t="shared" si="56"/>
        <v>1</v>
      </c>
      <c r="K301" t="b">
        <f t="shared" si="57"/>
        <v>0</v>
      </c>
      <c r="L301" t="b">
        <f t="shared" si="58"/>
        <v>0</v>
      </c>
      <c r="M301" t="b">
        <f t="shared" si="59"/>
        <v>1</v>
      </c>
      <c r="N301" t="b">
        <f t="shared" si="60"/>
        <v>0</v>
      </c>
      <c r="O301">
        <f t="shared" si="64"/>
        <v>9</v>
      </c>
      <c r="P301" s="31">
        <f t="shared" si="61"/>
        <v>483.00455992575735</v>
      </c>
      <c r="Q301" t="str">
        <f t="shared" si="62"/>
        <v>WT</v>
      </c>
      <c r="R301" s="32"/>
      <c r="S301" t="str">
        <f t="shared" si="63"/>
        <v>WT</v>
      </c>
    </row>
    <row r="302" spans="1:19" x14ac:dyDescent="0.2">
      <c r="A302" t="s">
        <v>738</v>
      </c>
      <c r="B302" s="29">
        <f t="shared" si="52"/>
        <v>45904.365850834663</v>
      </c>
      <c r="C302" s="29">
        <f t="shared" si="53"/>
        <v>45904.699184167999</v>
      </c>
      <c r="D302">
        <v>-31.984894010000001</v>
      </c>
      <c r="E302">
        <v>115.82004330700001</v>
      </c>
      <c r="F302">
        <v>1.3540000000000001</v>
      </c>
      <c r="G302">
        <v>0</v>
      </c>
      <c r="H302" s="30">
        <f t="shared" si="54"/>
        <v>5.1827520132064819</v>
      </c>
      <c r="I302" s="31">
        <f t="shared" si="55"/>
        <v>551.94776877372021</v>
      </c>
      <c r="J302" t="b">
        <f t="shared" si="56"/>
        <v>1</v>
      </c>
      <c r="K302" t="b">
        <f t="shared" si="57"/>
        <v>0</v>
      </c>
      <c r="L302" t="b">
        <f t="shared" si="58"/>
        <v>0</v>
      </c>
      <c r="M302" t="b">
        <f t="shared" si="59"/>
        <v>1</v>
      </c>
      <c r="N302" t="b">
        <f t="shared" si="60"/>
        <v>0</v>
      </c>
      <c r="O302">
        <f t="shared" si="64"/>
        <v>9</v>
      </c>
      <c r="P302" s="31">
        <f t="shared" si="61"/>
        <v>483.00455992575735</v>
      </c>
      <c r="Q302" t="str">
        <f t="shared" si="62"/>
        <v>WT</v>
      </c>
      <c r="R302" s="32"/>
      <c r="S302" t="str">
        <f t="shared" si="63"/>
        <v>WT</v>
      </c>
    </row>
    <row r="303" spans="1:19" x14ac:dyDescent="0.2">
      <c r="A303" t="s">
        <v>739</v>
      </c>
      <c r="B303" s="29">
        <f t="shared" si="52"/>
        <v>45904.365910820219</v>
      </c>
      <c r="C303" s="29">
        <f t="shared" si="53"/>
        <v>45904.699244153555</v>
      </c>
      <c r="D303">
        <v>-31.984873401000002</v>
      </c>
      <c r="E303">
        <v>115.820101655</v>
      </c>
      <c r="F303">
        <v>1.1499999999999999</v>
      </c>
      <c r="G303">
        <v>0</v>
      </c>
      <c r="H303" s="30">
        <f t="shared" si="54"/>
        <v>5.1982499426230788</v>
      </c>
      <c r="I303" s="31">
        <f t="shared" si="55"/>
        <v>554.16058584028826</v>
      </c>
      <c r="J303" t="b">
        <f t="shared" si="56"/>
        <v>1</v>
      </c>
      <c r="K303" t="b">
        <f t="shared" si="57"/>
        <v>0</v>
      </c>
      <c r="L303" t="b">
        <f t="shared" si="58"/>
        <v>0</v>
      </c>
      <c r="M303" t="b">
        <f t="shared" si="59"/>
        <v>1</v>
      </c>
      <c r="N303" t="b">
        <f t="shared" si="60"/>
        <v>0</v>
      </c>
      <c r="O303">
        <f t="shared" si="64"/>
        <v>9</v>
      </c>
      <c r="P303" s="31">
        <f t="shared" si="61"/>
        <v>483.00455992575735</v>
      </c>
      <c r="Q303" t="str">
        <f t="shared" si="62"/>
        <v>WT</v>
      </c>
      <c r="R303" s="32"/>
      <c r="S303" t="str">
        <f t="shared" si="63"/>
        <v>WT</v>
      </c>
    </row>
    <row r="304" spans="1:19" x14ac:dyDescent="0.2">
      <c r="A304" t="s">
        <v>740</v>
      </c>
      <c r="B304" s="29">
        <f t="shared" si="52"/>
        <v>45904.365970985149</v>
      </c>
      <c r="C304" s="29">
        <f t="shared" si="53"/>
        <v>45904.699304318485</v>
      </c>
      <c r="D304">
        <v>-31.984821126</v>
      </c>
      <c r="E304">
        <v>115.820125347</v>
      </c>
      <c r="F304">
        <v>1.198</v>
      </c>
      <c r="G304">
        <v>0</v>
      </c>
      <c r="H304" s="30">
        <f t="shared" si="54"/>
        <v>5.0097281578928232</v>
      </c>
      <c r="I304" s="31">
        <f t="shared" si="55"/>
        <v>551.62833628906492</v>
      </c>
      <c r="J304" t="b">
        <f t="shared" si="56"/>
        <v>1</v>
      </c>
      <c r="K304" t="b">
        <f t="shared" si="57"/>
        <v>0</v>
      </c>
      <c r="L304" t="b">
        <f t="shared" si="58"/>
        <v>0</v>
      </c>
      <c r="M304" t="b">
        <f t="shared" si="59"/>
        <v>1</v>
      </c>
      <c r="N304" t="b">
        <f t="shared" si="60"/>
        <v>0</v>
      </c>
      <c r="O304">
        <f t="shared" si="64"/>
        <v>9</v>
      </c>
      <c r="P304" s="31">
        <f t="shared" si="61"/>
        <v>483.00455992575735</v>
      </c>
      <c r="Q304" t="str">
        <f t="shared" si="62"/>
        <v>WT</v>
      </c>
      <c r="R304" s="32"/>
      <c r="S304" t="str">
        <f t="shared" si="63"/>
        <v>WT</v>
      </c>
    </row>
    <row r="305" spans="1:19" x14ac:dyDescent="0.2">
      <c r="A305" t="s">
        <v>741</v>
      </c>
      <c r="B305" s="29">
        <f t="shared" si="52"/>
        <v>45904.366028968114</v>
      </c>
      <c r="C305" s="29">
        <f t="shared" si="53"/>
        <v>45904.69936230145</v>
      </c>
      <c r="D305">
        <v>-31.984762194999998</v>
      </c>
      <c r="E305">
        <v>115.820130943</v>
      </c>
      <c r="F305">
        <v>1.3120000000000001</v>
      </c>
      <c r="G305">
        <v>0</v>
      </c>
      <c r="H305" s="30">
        <f t="shared" si="54"/>
        <v>5.1984976278617978</v>
      </c>
      <c r="I305" s="31">
        <f t="shared" si="55"/>
        <v>547.41509133333443</v>
      </c>
      <c r="J305" t="b">
        <f t="shared" si="56"/>
        <v>1</v>
      </c>
      <c r="K305" t="b">
        <f t="shared" si="57"/>
        <v>0</v>
      </c>
      <c r="L305" t="b">
        <f t="shared" si="58"/>
        <v>0</v>
      </c>
      <c r="M305" t="b">
        <f t="shared" si="59"/>
        <v>1</v>
      </c>
      <c r="N305" t="b">
        <f t="shared" si="60"/>
        <v>0</v>
      </c>
      <c r="O305">
        <f t="shared" si="64"/>
        <v>9</v>
      </c>
      <c r="P305" s="31">
        <f t="shared" si="61"/>
        <v>483.00455992575735</v>
      </c>
      <c r="Q305" t="str">
        <f t="shared" si="62"/>
        <v>WT</v>
      </c>
      <c r="R305" s="32"/>
      <c r="S305" t="str">
        <f t="shared" si="63"/>
        <v>WT</v>
      </c>
    </row>
    <row r="306" spans="1:19" x14ac:dyDescent="0.2">
      <c r="A306" t="s">
        <v>742</v>
      </c>
      <c r="B306" s="29">
        <f t="shared" si="52"/>
        <v>45904.36608913591</v>
      </c>
      <c r="C306" s="29">
        <f t="shared" si="53"/>
        <v>45904.699422469246</v>
      </c>
      <c r="D306">
        <v>-31.984699054</v>
      </c>
      <c r="E306">
        <v>115.820126946</v>
      </c>
      <c r="F306">
        <v>1.353</v>
      </c>
      <c r="G306">
        <v>0</v>
      </c>
      <c r="H306" s="30">
        <f t="shared" si="54"/>
        <v>5.2129168063402176</v>
      </c>
      <c r="I306" s="31">
        <f t="shared" si="55"/>
        <v>542.27109546839654</v>
      </c>
      <c r="J306" t="b">
        <f t="shared" si="56"/>
        <v>1</v>
      </c>
      <c r="K306" t="b">
        <f t="shared" si="57"/>
        <v>0</v>
      </c>
      <c r="L306" t="b">
        <f t="shared" si="58"/>
        <v>0</v>
      </c>
      <c r="M306" t="b">
        <f t="shared" si="59"/>
        <v>1</v>
      </c>
      <c r="N306" t="b">
        <f t="shared" si="60"/>
        <v>0</v>
      </c>
      <c r="O306">
        <f t="shared" si="64"/>
        <v>9</v>
      </c>
      <c r="P306" s="31">
        <f t="shared" si="61"/>
        <v>483.00455992575735</v>
      </c>
      <c r="Q306" t="str">
        <f t="shared" si="62"/>
        <v>WT</v>
      </c>
      <c r="R306" s="32"/>
      <c r="S306" t="str">
        <f t="shared" si="63"/>
        <v>WT</v>
      </c>
    </row>
    <row r="307" spans="1:19" x14ac:dyDescent="0.2">
      <c r="A307" t="s">
        <v>743</v>
      </c>
      <c r="B307" s="29">
        <f t="shared" si="52"/>
        <v>45904.366149470596</v>
      </c>
      <c r="C307" s="29">
        <f t="shared" si="53"/>
        <v>45904.699482803931</v>
      </c>
      <c r="D307">
        <v>-31.984638595</v>
      </c>
      <c r="E307">
        <v>115.820125902</v>
      </c>
      <c r="F307">
        <v>1.29</v>
      </c>
      <c r="G307">
        <v>0</v>
      </c>
      <c r="H307" s="30">
        <f t="shared" si="54"/>
        <v>5.1791687496006489</v>
      </c>
      <c r="I307" s="31">
        <f t="shared" si="55"/>
        <v>537.57703840814668</v>
      </c>
      <c r="J307" t="b">
        <f t="shared" si="56"/>
        <v>1</v>
      </c>
      <c r="K307" t="b">
        <f t="shared" si="57"/>
        <v>0</v>
      </c>
      <c r="L307" t="b">
        <f t="shared" si="58"/>
        <v>0</v>
      </c>
      <c r="M307" t="b">
        <f t="shared" si="59"/>
        <v>1</v>
      </c>
      <c r="N307" t="b">
        <f t="shared" si="60"/>
        <v>0</v>
      </c>
      <c r="O307">
        <f t="shared" si="64"/>
        <v>9</v>
      </c>
      <c r="P307" s="31">
        <f t="shared" si="61"/>
        <v>483.00455992575735</v>
      </c>
      <c r="Q307" t="str">
        <f t="shared" si="62"/>
        <v>WT</v>
      </c>
      <c r="R307" s="32"/>
      <c r="S307" t="str">
        <f t="shared" si="63"/>
        <v>WT</v>
      </c>
    </row>
    <row r="308" spans="1:19" x14ac:dyDescent="0.2">
      <c r="A308" t="s">
        <v>744</v>
      </c>
      <c r="B308" s="29">
        <f t="shared" si="52"/>
        <v>45904.366209414678</v>
      </c>
      <c r="C308" s="29">
        <f t="shared" si="53"/>
        <v>45904.699542748014</v>
      </c>
      <c r="D308">
        <v>-31.984578876</v>
      </c>
      <c r="E308">
        <v>115.820127951</v>
      </c>
      <c r="F308">
        <v>1.2829999999999999</v>
      </c>
      <c r="G308">
        <v>0</v>
      </c>
      <c r="H308" s="30">
        <f t="shared" si="54"/>
        <v>5.008416180498898</v>
      </c>
      <c r="I308" s="31">
        <f t="shared" si="55"/>
        <v>533.19675043196503</v>
      </c>
      <c r="J308" t="b">
        <f t="shared" si="56"/>
        <v>1</v>
      </c>
      <c r="K308" t="b">
        <f t="shared" si="57"/>
        <v>0</v>
      </c>
      <c r="L308" t="b">
        <f t="shared" si="58"/>
        <v>0</v>
      </c>
      <c r="M308" t="b">
        <f t="shared" si="59"/>
        <v>1</v>
      </c>
      <c r="N308" t="b">
        <f t="shared" si="60"/>
        <v>0</v>
      </c>
      <c r="O308">
        <f t="shared" si="64"/>
        <v>9</v>
      </c>
      <c r="P308" s="31">
        <f t="shared" si="61"/>
        <v>483.00455992575735</v>
      </c>
      <c r="Q308" t="str">
        <f t="shared" si="62"/>
        <v>WT</v>
      </c>
      <c r="R308" s="32"/>
      <c r="S308" t="str">
        <f t="shared" si="63"/>
        <v>WT</v>
      </c>
    </row>
    <row r="309" spans="1:19" x14ac:dyDescent="0.2">
      <c r="A309" t="s">
        <v>745</v>
      </c>
      <c r="B309" s="29">
        <f t="shared" si="52"/>
        <v>45904.366267382458</v>
      </c>
      <c r="C309" s="29">
        <f t="shared" si="53"/>
        <v>45904.699600715794</v>
      </c>
      <c r="D309">
        <v>-31.984520915000001</v>
      </c>
      <c r="E309">
        <v>115.820126716</v>
      </c>
      <c r="F309">
        <v>1.2869999999999999</v>
      </c>
      <c r="G309">
        <v>0</v>
      </c>
      <c r="H309" s="30">
        <f t="shared" si="54"/>
        <v>5.0075008766725659</v>
      </c>
      <c r="I309" s="31">
        <f t="shared" si="55"/>
        <v>528.76503703527806</v>
      </c>
      <c r="J309" t="b">
        <f t="shared" si="56"/>
        <v>1</v>
      </c>
      <c r="K309" t="b">
        <f t="shared" si="57"/>
        <v>0</v>
      </c>
      <c r="L309" t="b">
        <f t="shared" si="58"/>
        <v>0</v>
      </c>
      <c r="M309" t="b">
        <f t="shared" si="59"/>
        <v>1</v>
      </c>
      <c r="N309" t="b">
        <f t="shared" si="60"/>
        <v>0</v>
      </c>
      <c r="O309">
        <f t="shared" si="64"/>
        <v>9</v>
      </c>
      <c r="P309" s="31">
        <f t="shared" si="61"/>
        <v>483.00455992575735</v>
      </c>
      <c r="Q309" t="str">
        <f t="shared" si="62"/>
        <v>WT</v>
      </c>
      <c r="R309" s="32"/>
      <c r="S309" t="str">
        <f t="shared" si="63"/>
        <v>WT</v>
      </c>
    </row>
    <row r="310" spans="1:19" x14ac:dyDescent="0.2">
      <c r="A310" t="s">
        <v>746</v>
      </c>
      <c r="B310" s="29">
        <f t="shared" si="52"/>
        <v>45904.366325339644</v>
      </c>
      <c r="C310" s="29">
        <f t="shared" si="53"/>
        <v>45904.69965867298</v>
      </c>
      <c r="D310">
        <v>-31.984462595</v>
      </c>
      <c r="E310">
        <v>115.82012161999999</v>
      </c>
      <c r="F310">
        <v>1.2989999999999999</v>
      </c>
      <c r="G310">
        <v>0</v>
      </c>
      <c r="H310" s="30">
        <f t="shared" si="54"/>
        <v>5.1914235111325979</v>
      </c>
      <c r="I310" s="31">
        <f t="shared" si="55"/>
        <v>524.07645638638883</v>
      </c>
      <c r="J310" t="b">
        <f t="shared" si="56"/>
        <v>1</v>
      </c>
      <c r="K310" t="b">
        <f t="shared" si="57"/>
        <v>0</v>
      </c>
      <c r="L310" t="b">
        <f t="shared" si="58"/>
        <v>0</v>
      </c>
      <c r="M310" t="b">
        <f t="shared" si="59"/>
        <v>1</v>
      </c>
      <c r="N310" t="b">
        <f t="shared" si="60"/>
        <v>0</v>
      </c>
      <c r="O310">
        <f t="shared" si="64"/>
        <v>9</v>
      </c>
      <c r="P310" s="31">
        <f t="shared" si="61"/>
        <v>483.00455992575735</v>
      </c>
      <c r="Q310" t="str">
        <f t="shared" si="62"/>
        <v>WT</v>
      </c>
      <c r="R310" s="32"/>
      <c r="S310" t="str">
        <f t="shared" si="63"/>
        <v>WT</v>
      </c>
    </row>
    <row r="311" spans="1:19" x14ac:dyDescent="0.2">
      <c r="A311" t="s">
        <v>747</v>
      </c>
      <c r="B311" s="29">
        <f t="shared" si="52"/>
        <v>45904.366385425565</v>
      </c>
      <c r="C311" s="29">
        <f t="shared" si="53"/>
        <v>45904.6997187589</v>
      </c>
      <c r="D311">
        <v>-31.984400503</v>
      </c>
      <c r="E311">
        <v>115.820122613</v>
      </c>
      <c r="F311">
        <v>1.33</v>
      </c>
      <c r="G311">
        <v>0</v>
      </c>
      <c r="H311" s="30">
        <f t="shared" si="54"/>
        <v>5.1891283364966512</v>
      </c>
      <c r="I311" s="31">
        <f t="shared" si="55"/>
        <v>519.58379223222573</v>
      </c>
      <c r="J311" t="b">
        <f t="shared" si="56"/>
        <v>1</v>
      </c>
      <c r="K311" t="b">
        <f t="shared" si="57"/>
        <v>0</v>
      </c>
      <c r="L311" t="b">
        <f t="shared" si="58"/>
        <v>0</v>
      </c>
      <c r="M311" t="b">
        <f t="shared" si="59"/>
        <v>1</v>
      </c>
      <c r="N311" t="b">
        <f t="shared" si="60"/>
        <v>0</v>
      </c>
      <c r="O311">
        <f t="shared" si="64"/>
        <v>9</v>
      </c>
      <c r="P311" s="31">
        <f t="shared" si="61"/>
        <v>483.00455992575735</v>
      </c>
      <c r="Q311" t="str">
        <f t="shared" si="62"/>
        <v>WT</v>
      </c>
      <c r="R311" s="32"/>
      <c r="S311" t="str">
        <f t="shared" si="63"/>
        <v>WT</v>
      </c>
    </row>
    <row r="312" spans="1:19" x14ac:dyDescent="0.2">
      <c r="A312" t="s">
        <v>748</v>
      </c>
      <c r="B312" s="29">
        <f t="shared" si="52"/>
        <v>45904.36644548492</v>
      </c>
      <c r="C312" s="29">
        <f t="shared" si="53"/>
        <v>45904.699778818256</v>
      </c>
      <c r="D312">
        <v>-31.984339227</v>
      </c>
      <c r="E312">
        <v>115.820123783</v>
      </c>
      <c r="F312">
        <v>1.3129999999999999</v>
      </c>
      <c r="G312">
        <v>0</v>
      </c>
      <c r="H312" s="30">
        <f t="shared" si="54"/>
        <v>5.193058610893786</v>
      </c>
      <c r="I312" s="31">
        <f t="shared" si="55"/>
        <v>515.21612097399532</v>
      </c>
      <c r="J312" t="b">
        <f t="shared" si="56"/>
        <v>1</v>
      </c>
      <c r="K312" t="b">
        <f t="shared" si="57"/>
        <v>0</v>
      </c>
      <c r="L312" t="b">
        <f t="shared" si="58"/>
        <v>0</v>
      </c>
      <c r="M312" t="b">
        <f t="shared" si="59"/>
        <v>1</v>
      </c>
      <c r="N312" t="b">
        <f t="shared" si="60"/>
        <v>0</v>
      </c>
      <c r="O312">
        <f t="shared" si="64"/>
        <v>9</v>
      </c>
      <c r="P312" s="31">
        <f t="shared" si="61"/>
        <v>483.00455992575735</v>
      </c>
      <c r="Q312" t="str">
        <f t="shared" si="62"/>
        <v>WT</v>
      </c>
      <c r="R312" s="32"/>
      <c r="S312" t="str">
        <f t="shared" si="63"/>
        <v>WT</v>
      </c>
    </row>
    <row r="313" spans="1:19" x14ac:dyDescent="0.2">
      <c r="A313" t="s">
        <v>749</v>
      </c>
      <c r="B313" s="29">
        <f t="shared" si="52"/>
        <v>45904.366505589765</v>
      </c>
      <c r="C313" s="29">
        <f t="shared" si="53"/>
        <v>45904.699838923101</v>
      </c>
      <c r="D313">
        <v>-31.984280042999998</v>
      </c>
      <c r="E313">
        <v>115.820123838</v>
      </c>
      <c r="F313">
        <v>1.2669999999999999</v>
      </c>
      <c r="G313">
        <v>0</v>
      </c>
      <c r="H313" s="30">
        <f t="shared" si="54"/>
        <v>5.2324103889986873</v>
      </c>
      <c r="I313" s="31">
        <f t="shared" si="55"/>
        <v>510.97064817378265</v>
      </c>
      <c r="J313" t="b">
        <f t="shared" si="56"/>
        <v>1</v>
      </c>
      <c r="K313" t="b">
        <f t="shared" si="57"/>
        <v>0</v>
      </c>
      <c r="L313" t="b">
        <f t="shared" si="58"/>
        <v>0</v>
      </c>
      <c r="M313" t="b">
        <f t="shared" si="59"/>
        <v>1</v>
      </c>
      <c r="N313" t="b">
        <f t="shared" si="60"/>
        <v>0</v>
      </c>
      <c r="O313">
        <f t="shared" si="64"/>
        <v>9</v>
      </c>
      <c r="P313" s="31">
        <f t="shared" si="61"/>
        <v>483.00455992575735</v>
      </c>
      <c r="Q313" t="str">
        <f t="shared" si="62"/>
        <v>WT</v>
      </c>
      <c r="R313" s="32"/>
      <c r="S313" t="str">
        <f t="shared" si="63"/>
        <v>WT</v>
      </c>
    </row>
    <row r="314" spans="1:19" x14ac:dyDescent="0.2">
      <c r="A314" t="s">
        <v>750</v>
      </c>
      <c r="B314" s="29">
        <f t="shared" si="52"/>
        <v>45904.366566150071</v>
      </c>
      <c r="C314" s="29">
        <f t="shared" si="53"/>
        <v>45904.699899483407</v>
      </c>
      <c r="D314">
        <v>-31.984220097000001</v>
      </c>
      <c r="E314">
        <v>115.820126234</v>
      </c>
      <c r="F314">
        <v>1.2749999999999999</v>
      </c>
      <c r="G314">
        <v>0</v>
      </c>
      <c r="H314" s="30">
        <f t="shared" si="54"/>
        <v>5.1807346986606717</v>
      </c>
      <c r="I314" s="31">
        <f t="shared" si="55"/>
        <v>506.89206286009102</v>
      </c>
      <c r="J314" t="b">
        <f t="shared" si="56"/>
        <v>1</v>
      </c>
      <c r="K314" t="b">
        <f t="shared" si="57"/>
        <v>0</v>
      </c>
      <c r="L314" t="b">
        <f t="shared" si="58"/>
        <v>0</v>
      </c>
      <c r="M314" t="b">
        <f t="shared" si="59"/>
        <v>1</v>
      </c>
      <c r="N314" t="b">
        <f t="shared" si="60"/>
        <v>0</v>
      </c>
      <c r="O314">
        <f t="shared" si="64"/>
        <v>9</v>
      </c>
      <c r="P314" s="31">
        <f t="shared" si="61"/>
        <v>483.00455992575735</v>
      </c>
      <c r="Q314" t="str">
        <f t="shared" si="62"/>
        <v>WT</v>
      </c>
      <c r="R314" s="32"/>
      <c r="S314" t="str">
        <f t="shared" si="63"/>
        <v>WT</v>
      </c>
    </row>
    <row r="315" spans="1:19" x14ac:dyDescent="0.2">
      <c r="A315" t="s">
        <v>751</v>
      </c>
      <c r="B315" s="29">
        <f t="shared" si="52"/>
        <v>45904.366626112278</v>
      </c>
      <c r="C315" s="29">
        <f t="shared" si="53"/>
        <v>45904.699959445614</v>
      </c>
      <c r="D315">
        <v>-31.984161389</v>
      </c>
      <c r="E315">
        <v>115.820124631</v>
      </c>
      <c r="F315">
        <v>1.26</v>
      </c>
      <c r="G315">
        <v>0</v>
      </c>
      <c r="H315" s="30">
        <f t="shared" si="54"/>
        <v>5.1890491275116801</v>
      </c>
      <c r="I315" s="31">
        <f t="shared" si="55"/>
        <v>502.66093617755888</v>
      </c>
      <c r="J315" t="b">
        <f t="shared" si="56"/>
        <v>1</v>
      </c>
      <c r="K315" t="b">
        <f t="shared" si="57"/>
        <v>0</v>
      </c>
      <c r="L315" t="b">
        <f t="shared" si="58"/>
        <v>0</v>
      </c>
      <c r="M315" t="b">
        <f t="shared" si="59"/>
        <v>1</v>
      </c>
      <c r="N315" t="b">
        <f t="shared" si="60"/>
        <v>0</v>
      </c>
      <c r="O315">
        <f t="shared" si="64"/>
        <v>9</v>
      </c>
      <c r="P315" s="31">
        <f t="shared" si="61"/>
        <v>483.00455992575735</v>
      </c>
      <c r="Q315" t="str">
        <f t="shared" si="62"/>
        <v>WT</v>
      </c>
      <c r="R315" s="32"/>
      <c r="S315" t="str">
        <f t="shared" si="63"/>
        <v>WT</v>
      </c>
    </row>
    <row r="316" spans="1:19" x14ac:dyDescent="0.2">
      <c r="A316" t="s">
        <v>752</v>
      </c>
      <c r="B316" s="29">
        <f t="shared" si="52"/>
        <v>45904.366686170717</v>
      </c>
      <c r="C316" s="29">
        <f t="shared" si="53"/>
        <v>45904.700019504053</v>
      </c>
      <c r="D316">
        <v>-31.984104626000001</v>
      </c>
      <c r="E316">
        <v>115.820127607</v>
      </c>
      <c r="F316">
        <v>1.218</v>
      </c>
      <c r="G316">
        <v>0</v>
      </c>
      <c r="H316" s="30">
        <f t="shared" si="54"/>
        <v>5.1908992230892181</v>
      </c>
      <c r="I316" s="31">
        <f t="shared" si="55"/>
        <v>498.95256678785131</v>
      </c>
      <c r="J316" t="b">
        <f t="shared" si="56"/>
        <v>1</v>
      </c>
      <c r="K316" t="b">
        <f t="shared" si="57"/>
        <v>0</v>
      </c>
      <c r="L316" t="b">
        <f t="shared" si="58"/>
        <v>0</v>
      </c>
      <c r="M316" t="b">
        <f t="shared" si="59"/>
        <v>1</v>
      </c>
      <c r="N316" t="b">
        <f t="shared" si="60"/>
        <v>0</v>
      </c>
      <c r="O316">
        <f t="shared" si="64"/>
        <v>9</v>
      </c>
      <c r="P316" s="31">
        <f t="shared" si="61"/>
        <v>483.00455992575735</v>
      </c>
      <c r="Q316" t="str">
        <f t="shared" si="62"/>
        <v>WT</v>
      </c>
      <c r="R316" s="32"/>
      <c r="S316" t="str">
        <f t="shared" si="63"/>
        <v>WT</v>
      </c>
    </row>
    <row r="317" spans="1:19" x14ac:dyDescent="0.2">
      <c r="A317" t="s">
        <v>753</v>
      </c>
      <c r="B317" s="29">
        <f t="shared" si="52"/>
        <v>45904.366746250569</v>
      </c>
      <c r="C317" s="29">
        <f t="shared" si="53"/>
        <v>45904.700079583905</v>
      </c>
      <c r="D317">
        <v>-31.984043323000002</v>
      </c>
      <c r="E317">
        <v>115.82012661500001</v>
      </c>
      <c r="F317">
        <v>1.3129999999999999</v>
      </c>
      <c r="G317">
        <v>0</v>
      </c>
      <c r="H317" s="30">
        <f t="shared" si="54"/>
        <v>5.0183380488306284</v>
      </c>
      <c r="I317" s="31">
        <f t="shared" si="55"/>
        <v>494.69253175967822</v>
      </c>
      <c r="J317" t="b">
        <f t="shared" si="56"/>
        <v>1</v>
      </c>
      <c r="K317" t="b">
        <f t="shared" si="57"/>
        <v>0</v>
      </c>
      <c r="L317" t="b">
        <f t="shared" si="58"/>
        <v>0</v>
      </c>
      <c r="M317" t="b">
        <f t="shared" si="59"/>
        <v>1</v>
      </c>
      <c r="N317" t="b">
        <f t="shared" si="60"/>
        <v>0</v>
      </c>
      <c r="O317">
        <f t="shared" si="64"/>
        <v>9</v>
      </c>
      <c r="P317" s="31">
        <f t="shared" si="61"/>
        <v>483.00455992575735</v>
      </c>
      <c r="Q317" t="str">
        <f t="shared" si="62"/>
        <v>WT</v>
      </c>
      <c r="R317" s="32"/>
      <c r="S317" t="str">
        <f t="shared" si="63"/>
        <v>WT</v>
      </c>
    </row>
    <row r="318" spans="1:19" x14ac:dyDescent="0.2">
      <c r="A318" t="s">
        <v>754</v>
      </c>
      <c r="B318" s="29">
        <f t="shared" si="52"/>
        <v>45904.366804333185</v>
      </c>
      <c r="C318" s="29">
        <f t="shared" si="53"/>
        <v>45904.700137666521</v>
      </c>
      <c r="D318">
        <v>-31.983988717999999</v>
      </c>
      <c r="E318">
        <v>115.820127442</v>
      </c>
      <c r="F318">
        <v>1.21</v>
      </c>
      <c r="G318">
        <v>0</v>
      </c>
      <c r="H318" s="30">
        <f t="shared" si="54"/>
        <v>5.191647307947278</v>
      </c>
      <c r="I318" s="31">
        <f t="shared" si="55"/>
        <v>491.07535596650251</v>
      </c>
      <c r="J318" t="b">
        <f t="shared" si="56"/>
        <v>1</v>
      </c>
      <c r="K318" t="b">
        <f t="shared" si="57"/>
        <v>0</v>
      </c>
      <c r="L318" t="b">
        <f t="shared" si="58"/>
        <v>0</v>
      </c>
      <c r="M318" t="b">
        <f t="shared" si="59"/>
        <v>1</v>
      </c>
      <c r="N318" t="b">
        <f t="shared" si="60"/>
        <v>0</v>
      </c>
      <c r="O318">
        <f t="shared" si="64"/>
        <v>9</v>
      </c>
      <c r="P318" s="31">
        <f t="shared" si="61"/>
        <v>483.00455992575735</v>
      </c>
      <c r="Q318" t="str">
        <f t="shared" si="62"/>
        <v>WT</v>
      </c>
      <c r="R318" s="32"/>
      <c r="S318" t="str">
        <f t="shared" si="63"/>
        <v>WT</v>
      </c>
    </row>
    <row r="319" spans="1:19" x14ac:dyDescent="0.2">
      <c r="A319" t="s">
        <v>755</v>
      </c>
      <c r="B319" s="29">
        <f t="shared" si="52"/>
        <v>45904.366864421696</v>
      </c>
      <c r="C319" s="29">
        <f t="shared" si="53"/>
        <v>45904.700197755032</v>
      </c>
      <c r="D319">
        <v>-31.983928132999999</v>
      </c>
      <c r="E319">
        <v>115.820126554</v>
      </c>
      <c r="F319">
        <v>1.298</v>
      </c>
      <c r="G319">
        <v>0</v>
      </c>
      <c r="H319" s="30">
        <f t="shared" si="54"/>
        <v>5.2263395860791206</v>
      </c>
      <c r="I319" s="31">
        <f t="shared" si="55"/>
        <v>486.98210227989279</v>
      </c>
      <c r="J319" t="b">
        <f t="shared" si="56"/>
        <v>1</v>
      </c>
      <c r="K319" t="b">
        <f t="shared" si="57"/>
        <v>0</v>
      </c>
      <c r="L319" t="b">
        <f t="shared" si="58"/>
        <v>0</v>
      </c>
      <c r="M319" t="b">
        <f t="shared" si="59"/>
        <v>1</v>
      </c>
      <c r="N319" t="b">
        <f t="shared" si="60"/>
        <v>0</v>
      </c>
      <c r="O319">
        <f t="shared" si="64"/>
        <v>9</v>
      </c>
      <c r="P319" s="31">
        <f t="shared" si="61"/>
        <v>483.00455992575735</v>
      </c>
      <c r="Q319" t="str">
        <f t="shared" si="62"/>
        <v>WT</v>
      </c>
      <c r="R319" s="32"/>
      <c r="S319" t="str">
        <f t="shared" si="63"/>
        <v>WT</v>
      </c>
    </row>
    <row r="320" spans="1:19" x14ac:dyDescent="0.2">
      <c r="A320" t="s">
        <v>756</v>
      </c>
      <c r="B320" s="29">
        <f t="shared" si="52"/>
        <v>45904.366924911737</v>
      </c>
      <c r="C320" s="29">
        <f t="shared" si="53"/>
        <v>45904.700258245073</v>
      </c>
      <c r="D320">
        <v>-31.983871415999999</v>
      </c>
      <c r="E320">
        <v>115.82012389099999</v>
      </c>
      <c r="F320">
        <v>1.208</v>
      </c>
      <c r="G320">
        <v>0</v>
      </c>
      <c r="H320" s="30">
        <f t="shared" si="54"/>
        <v>5.0059078959748149</v>
      </c>
      <c r="I320" s="31">
        <f t="shared" si="55"/>
        <v>483.06376635191384</v>
      </c>
      <c r="J320" t="b">
        <f t="shared" si="56"/>
        <v>1</v>
      </c>
      <c r="K320" t="b">
        <f t="shared" si="57"/>
        <v>0</v>
      </c>
      <c r="L320" t="b">
        <f t="shared" si="58"/>
        <v>0</v>
      </c>
      <c r="M320" t="b">
        <f t="shared" si="59"/>
        <v>1</v>
      </c>
      <c r="N320" t="b">
        <f t="shared" si="60"/>
        <v>0</v>
      </c>
      <c r="O320">
        <f t="shared" si="64"/>
        <v>9</v>
      </c>
      <c r="P320" s="31">
        <f t="shared" si="61"/>
        <v>483.00455992575735</v>
      </c>
      <c r="Q320" t="str">
        <f t="shared" si="62"/>
        <v>WT</v>
      </c>
      <c r="R320" s="32"/>
      <c r="S320" t="str">
        <f t="shared" si="63"/>
        <v>WT</v>
      </c>
    </row>
    <row r="321" spans="1:19" x14ac:dyDescent="0.2">
      <c r="A321" t="s">
        <v>757</v>
      </c>
      <c r="B321" s="29">
        <f t="shared" si="52"/>
        <v>45904.366982850486</v>
      </c>
      <c r="C321" s="29">
        <f t="shared" si="53"/>
        <v>45904.700316183822</v>
      </c>
      <c r="D321">
        <v>-31.98381199</v>
      </c>
      <c r="E321">
        <v>115.820123822</v>
      </c>
      <c r="F321">
        <v>1.32</v>
      </c>
      <c r="G321">
        <v>0</v>
      </c>
      <c r="H321" s="30">
        <f t="shared" si="54"/>
        <v>5.0092698773369193</v>
      </c>
      <c r="I321" s="31">
        <f t="shared" si="55"/>
        <v>479.22290925502665</v>
      </c>
      <c r="J321" t="b">
        <f t="shared" si="56"/>
        <v>1</v>
      </c>
      <c r="K321" t="b">
        <f t="shared" si="57"/>
        <v>0</v>
      </c>
      <c r="L321" t="b">
        <f t="shared" si="58"/>
        <v>0</v>
      </c>
      <c r="M321" t="b">
        <f t="shared" si="59"/>
        <v>1</v>
      </c>
      <c r="N321" t="b">
        <f t="shared" si="60"/>
        <v>0</v>
      </c>
      <c r="O321">
        <f t="shared" si="64"/>
        <v>9</v>
      </c>
      <c r="P321" s="31">
        <f t="shared" si="61"/>
        <v>483.00455992575735</v>
      </c>
      <c r="Q321" t="str">
        <f t="shared" si="62"/>
        <v>WT</v>
      </c>
      <c r="R321" s="32"/>
      <c r="S321" t="str">
        <f t="shared" si="63"/>
        <v>WT</v>
      </c>
    </row>
    <row r="322" spans="1:19" x14ac:dyDescent="0.2">
      <c r="A322" t="s">
        <v>758</v>
      </c>
      <c r="B322" s="29">
        <f t="shared" ref="B322:B385" si="65">DATE(VALUE(LEFT(A322,4)),VALUE(MID(A322,6,2)),VALUE(MID(A322,9,2)))+TIME(VALUE(MID(A322,12,2)),VALUE(MID(A322,15,2)),VALUE(MID(A322,18,2)))+IFERROR(VALUE(MID(A322,21,6)),0)/86400000000</f>
        <v>45904.367040828147</v>
      </c>
      <c r="C322" s="29">
        <f t="shared" ref="C322:C385" si="66">B322+UTC_OFFSET_H/24</f>
        <v>45904.700374161483</v>
      </c>
      <c r="D322">
        <v>-31.983754129000001</v>
      </c>
      <c r="E322">
        <v>115.820123279</v>
      </c>
      <c r="F322">
        <v>1.284</v>
      </c>
      <c r="G322">
        <v>0</v>
      </c>
      <c r="H322" s="30">
        <f t="shared" ref="H322:H385" si="67">(B323-B322)*86400</f>
        <v>5.1887480076402426</v>
      </c>
      <c r="I322" s="31">
        <f t="shared" ref="I322:I385" si="68">2*6371000*ASIN(SQRT(SIN((RADIANS(D322)-RADIANS(DEPOT_LAT))/2)^2+COS(RADIANS(DEPOT_LAT))*COS(RADIANS(D322))*SIN((RADIANS(E322)-RADIANS(DEPOT_LON))/2)^2))</f>
        <v>475.5046518370624</v>
      </c>
      <c r="J322" t="b">
        <f t="shared" ref="J322:J385" si="69">AND(WEEKDAY(C322,2)&lt;=SERVICE_LAST_WEEKDAY,MOD(C322,1)&gt;=SERVICE_START,MOD(C322,1)&lt;SERVICE_END)</f>
        <v>1</v>
      </c>
      <c r="K322" t="b">
        <f t="shared" ref="K322:K385" si="70">F322&lt;SPEED_STOP_MPS</f>
        <v>0</v>
      </c>
      <c r="L322" t="b">
        <f t="shared" ref="L322:L385" si="71">I322&lt;=DEPOT_RADIUS_M</f>
        <v>0</v>
      </c>
      <c r="M322" t="b">
        <f t="shared" ref="M322:M385" si="72">G322&gt;=0</f>
        <v>1</v>
      </c>
      <c r="N322" t="b">
        <f t="shared" ref="N322:N385" si="73">H322&gt;MAX_GAP_S</f>
        <v>0</v>
      </c>
      <c r="O322">
        <f t="shared" si="64"/>
        <v>9</v>
      </c>
      <c r="P322" s="31">
        <f t="shared" ref="P322:P385" si="74">SUMIFS($H$2:$H$440,$O$2:$O$440,O322)</f>
        <v>483.00455992575735</v>
      </c>
      <c r="Q322" t="str">
        <f t="shared" ref="Q322:Q385" si="75">IF(NOT(J322),"UT",IF(N322,IF(L322,"SB","OD"),IF(AND(K322,L322,P322&gt;=STANDBY_DWELL_S),"SB",IF(AND(K322,NOT(M322)),"OD",IF(AND(K322,NOT(L322),P322&gt;=DELAY_DWELL_S),"OD","WT")))))</f>
        <v>WT</v>
      </c>
      <c r="R322" s="32"/>
      <c r="S322" t="str">
        <f t="shared" ref="S322:S385" si="76">IF(R322&lt;&gt;"",R322,Q322)</f>
        <v>WT</v>
      </c>
    </row>
    <row r="323" spans="1:19" x14ac:dyDescent="0.2">
      <c r="A323" t="s">
        <v>759</v>
      </c>
      <c r="B323" s="29">
        <f t="shared" si="65"/>
        <v>45904.367100883101</v>
      </c>
      <c r="C323" s="29">
        <f t="shared" si="66"/>
        <v>45904.700434216436</v>
      </c>
      <c r="D323">
        <v>-31.983696349999999</v>
      </c>
      <c r="E323">
        <v>115.82012486399999</v>
      </c>
      <c r="F323">
        <v>1.2390000000000001</v>
      </c>
      <c r="G323">
        <v>0</v>
      </c>
      <c r="H323" s="30">
        <f t="shared" si="67"/>
        <v>5.1699270727112889</v>
      </c>
      <c r="I323" s="31">
        <f t="shared" si="68"/>
        <v>472.01653067013467</v>
      </c>
      <c r="J323" t="b">
        <f t="shared" si="69"/>
        <v>1</v>
      </c>
      <c r="K323" t="b">
        <f t="shared" si="70"/>
        <v>0</v>
      </c>
      <c r="L323" t="b">
        <f t="shared" si="71"/>
        <v>0</v>
      </c>
      <c r="M323" t="b">
        <f t="shared" si="72"/>
        <v>1</v>
      </c>
      <c r="N323" t="b">
        <f t="shared" si="73"/>
        <v>0</v>
      </c>
      <c r="O323">
        <f t="shared" ref="O323:O386" si="77">IF(AND(K323=K322,L323=L322),O322,O322+1)</f>
        <v>9</v>
      </c>
      <c r="P323" s="31">
        <f t="shared" si="74"/>
        <v>483.00455992575735</v>
      </c>
      <c r="Q323" t="str">
        <f t="shared" si="75"/>
        <v>WT</v>
      </c>
      <c r="R323" s="32"/>
      <c r="S323" t="str">
        <f t="shared" si="76"/>
        <v>WT</v>
      </c>
    </row>
    <row r="324" spans="1:19" x14ac:dyDescent="0.2">
      <c r="A324" t="s">
        <v>760</v>
      </c>
      <c r="B324" s="29">
        <f t="shared" si="65"/>
        <v>45904.36716072022</v>
      </c>
      <c r="C324" s="29">
        <f t="shared" si="66"/>
        <v>45904.700494053555</v>
      </c>
      <c r="D324">
        <v>-31.983636657000002</v>
      </c>
      <c r="E324">
        <v>115.82013067699999</v>
      </c>
      <c r="F324">
        <v>1.288</v>
      </c>
      <c r="G324">
        <v>0</v>
      </c>
      <c r="H324" s="30">
        <f t="shared" si="67"/>
        <v>5.0072179874405265</v>
      </c>
      <c r="I324" s="31">
        <f t="shared" si="68"/>
        <v>468.80777659906471</v>
      </c>
      <c r="J324" t="b">
        <f t="shared" si="69"/>
        <v>1</v>
      </c>
      <c r="K324" t="b">
        <f t="shared" si="70"/>
        <v>0</v>
      </c>
      <c r="L324" t="b">
        <f t="shared" si="71"/>
        <v>0</v>
      </c>
      <c r="M324" t="b">
        <f t="shared" si="72"/>
        <v>1</v>
      </c>
      <c r="N324" t="b">
        <f t="shared" si="73"/>
        <v>0</v>
      </c>
      <c r="O324">
        <f t="shared" si="77"/>
        <v>9</v>
      </c>
      <c r="P324" s="31">
        <f t="shared" si="74"/>
        <v>483.00455992575735</v>
      </c>
      <c r="Q324" t="str">
        <f t="shared" si="75"/>
        <v>WT</v>
      </c>
      <c r="R324" s="32"/>
      <c r="S324" t="str">
        <f t="shared" si="76"/>
        <v>WT</v>
      </c>
    </row>
    <row r="325" spans="1:19" x14ac:dyDescent="0.2">
      <c r="A325" t="s">
        <v>761</v>
      </c>
      <c r="B325" s="29">
        <f t="shared" si="65"/>
        <v>45904.367218674131</v>
      </c>
      <c r="C325" s="29">
        <f t="shared" si="66"/>
        <v>45904.700552007467</v>
      </c>
      <c r="D325">
        <v>-31.983576739</v>
      </c>
      <c r="E325">
        <v>115.82012937</v>
      </c>
      <c r="F325">
        <v>1.331</v>
      </c>
      <c r="G325">
        <v>0</v>
      </c>
      <c r="H325" s="30">
        <f t="shared" si="67"/>
        <v>5.0080295652151108</v>
      </c>
      <c r="I325" s="31">
        <f t="shared" si="68"/>
        <v>465.092182518958</v>
      </c>
      <c r="J325" t="b">
        <f t="shared" si="69"/>
        <v>1</v>
      </c>
      <c r="K325" t="b">
        <f t="shared" si="70"/>
        <v>0</v>
      </c>
      <c r="L325" t="b">
        <f t="shared" si="71"/>
        <v>0</v>
      </c>
      <c r="M325" t="b">
        <f t="shared" si="72"/>
        <v>1</v>
      </c>
      <c r="N325" t="b">
        <f t="shared" si="73"/>
        <v>0</v>
      </c>
      <c r="O325">
        <f t="shared" si="77"/>
        <v>9</v>
      </c>
      <c r="P325" s="31">
        <f t="shared" si="74"/>
        <v>483.00455992575735</v>
      </c>
      <c r="Q325" t="str">
        <f t="shared" si="75"/>
        <v>WT</v>
      </c>
      <c r="R325" s="32"/>
      <c r="S325" t="str">
        <f t="shared" si="76"/>
        <v>WT</v>
      </c>
    </row>
    <row r="326" spans="1:19" x14ac:dyDescent="0.2">
      <c r="A326" t="s">
        <v>762</v>
      </c>
      <c r="B326" s="29">
        <f t="shared" si="65"/>
        <v>45904.367276637437</v>
      </c>
      <c r="C326" s="29">
        <f t="shared" si="66"/>
        <v>45904.700609970772</v>
      </c>
      <c r="D326">
        <v>-31.983517837000001</v>
      </c>
      <c r="E326">
        <v>115.82012571999999</v>
      </c>
      <c r="F326">
        <v>1.31</v>
      </c>
      <c r="G326">
        <v>0</v>
      </c>
      <c r="H326" s="30">
        <f t="shared" si="67"/>
        <v>5.1823697984218597</v>
      </c>
      <c r="I326" s="31">
        <f t="shared" si="68"/>
        <v>461.31467420750687</v>
      </c>
      <c r="J326" t="b">
        <f t="shared" si="69"/>
        <v>1</v>
      </c>
      <c r="K326" t="b">
        <f t="shared" si="70"/>
        <v>0</v>
      </c>
      <c r="L326" t="b">
        <f t="shared" si="71"/>
        <v>0</v>
      </c>
      <c r="M326" t="b">
        <f t="shared" si="72"/>
        <v>1</v>
      </c>
      <c r="N326" t="b">
        <f t="shared" si="73"/>
        <v>0</v>
      </c>
      <c r="O326">
        <f t="shared" si="77"/>
        <v>9</v>
      </c>
      <c r="P326" s="31">
        <f t="shared" si="74"/>
        <v>483.00455992575735</v>
      </c>
      <c r="Q326" t="str">
        <f t="shared" si="75"/>
        <v>WT</v>
      </c>
      <c r="R326" s="32"/>
      <c r="S326" t="str">
        <f t="shared" si="76"/>
        <v>WT</v>
      </c>
    </row>
    <row r="327" spans="1:19" x14ac:dyDescent="0.2">
      <c r="A327" t="s">
        <v>763</v>
      </c>
      <c r="B327" s="29">
        <f t="shared" si="65"/>
        <v>45904.367336618569</v>
      </c>
      <c r="C327" s="29">
        <f t="shared" si="66"/>
        <v>45904.700669951904</v>
      </c>
      <c r="D327">
        <v>-31.983456242999999</v>
      </c>
      <c r="E327">
        <v>115.820124013</v>
      </c>
      <c r="F327">
        <v>1.3220000000000001</v>
      </c>
      <c r="G327">
        <v>0</v>
      </c>
      <c r="H327" s="30">
        <f t="shared" si="67"/>
        <v>5.0169820664450526</v>
      </c>
      <c r="I327" s="31">
        <f t="shared" si="68"/>
        <v>457.60210529755818</v>
      </c>
      <c r="J327" t="b">
        <f t="shared" si="69"/>
        <v>1</v>
      </c>
      <c r="K327" t="b">
        <f t="shared" si="70"/>
        <v>0</v>
      </c>
      <c r="L327" t="b">
        <f t="shared" si="71"/>
        <v>0</v>
      </c>
      <c r="M327" t="b">
        <f t="shared" si="72"/>
        <v>1</v>
      </c>
      <c r="N327" t="b">
        <f t="shared" si="73"/>
        <v>0</v>
      </c>
      <c r="O327">
        <f t="shared" si="77"/>
        <v>9</v>
      </c>
      <c r="P327" s="31">
        <f t="shared" si="74"/>
        <v>483.00455992575735</v>
      </c>
      <c r="Q327" t="str">
        <f t="shared" si="75"/>
        <v>WT</v>
      </c>
      <c r="R327" s="32"/>
      <c r="S327" t="str">
        <f t="shared" si="76"/>
        <v>WT</v>
      </c>
    </row>
    <row r="328" spans="1:19" x14ac:dyDescent="0.2">
      <c r="A328" t="s">
        <v>764</v>
      </c>
      <c r="B328" s="29">
        <f t="shared" si="65"/>
        <v>45904.367394685491</v>
      </c>
      <c r="C328" s="29">
        <f t="shared" si="66"/>
        <v>45904.700728018826</v>
      </c>
      <c r="D328">
        <v>-31.983396949999999</v>
      </c>
      <c r="E328">
        <v>115.820122521</v>
      </c>
      <c r="F328">
        <v>1.3140000000000001</v>
      </c>
      <c r="G328">
        <v>0</v>
      </c>
      <c r="H328" s="30">
        <f t="shared" si="67"/>
        <v>5.2034173859283328</v>
      </c>
      <c r="I328" s="31">
        <f t="shared" si="68"/>
        <v>454.10949932843897</v>
      </c>
      <c r="J328" t="b">
        <f t="shared" si="69"/>
        <v>1</v>
      </c>
      <c r="K328" t="b">
        <f t="shared" si="70"/>
        <v>0</v>
      </c>
      <c r="L328" t="b">
        <f t="shared" si="71"/>
        <v>0</v>
      </c>
      <c r="M328" t="b">
        <f t="shared" si="72"/>
        <v>1</v>
      </c>
      <c r="N328" t="b">
        <f t="shared" si="73"/>
        <v>0</v>
      </c>
      <c r="O328">
        <f t="shared" si="77"/>
        <v>9</v>
      </c>
      <c r="P328" s="31">
        <f t="shared" si="74"/>
        <v>483.00455992575735</v>
      </c>
      <c r="Q328" t="str">
        <f t="shared" si="75"/>
        <v>WT</v>
      </c>
      <c r="R328" s="32"/>
      <c r="S328" t="str">
        <f t="shared" si="76"/>
        <v>WT</v>
      </c>
    </row>
    <row r="329" spans="1:19" x14ac:dyDescent="0.2">
      <c r="A329" t="s">
        <v>765</v>
      </c>
      <c r="B329" s="29">
        <f t="shared" si="65"/>
        <v>45904.367454910229</v>
      </c>
      <c r="C329" s="29">
        <f t="shared" si="66"/>
        <v>45904.700788243565</v>
      </c>
      <c r="D329">
        <v>-31.983335013000001</v>
      </c>
      <c r="E329">
        <v>115.820124091</v>
      </c>
      <c r="F329">
        <v>1.3240000000000001</v>
      </c>
      <c r="G329">
        <v>0</v>
      </c>
      <c r="H329" s="30">
        <f t="shared" si="67"/>
        <v>5.2188555942848325</v>
      </c>
      <c r="I329" s="31">
        <f t="shared" si="68"/>
        <v>450.79175819997465</v>
      </c>
      <c r="J329" t="b">
        <f t="shared" si="69"/>
        <v>1</v>
      </c>
      <c r="K329" t="b">
        <f t="shared" si="70"/>
        <v>0</v>
      </c>
      <c r="L329" t="b">
        <f t="shared" si="71"/>
        <v>0</v>
      </c>
      <c r="M329" t="b">
        <f t="shared" si="72"/>
        <v>1</v>
      </c>
      <c r="N329" t="b">
        <f t="shared" si="73"/>
        <v>0</v>
      </c>
      <c r="O329">
        <f t="shared" si="77"/>
        <v>9</v>
      </c>
      <c r="P329" s="31">
        <f t="shared" si="74"/>
        <v>483.00455992575735</v>
      </c>
      <c r="Q329" t="str">
        <f t="shared" si="75"/>
        <v>WT</v>
      </c>
      <c r="R329" s="32"/>
      <c r="S329" t="str">
        <f t="shared" si="76"/>
        <v>WT</v>
      </c>
    </row>
    <row r="330" spans="1:19" x14ac:dyDescent="0.2">
      <c r="A330" t="s">
        <v>766</v>
      </c>
      <c r="B330" s="29">
        <f t="shared" si="65"/>
        <v>45904.36751531365</v>
      </c>
      <c r="C330" s="29">
        <f t="shared" si="66"/>
        <v>45904.700848646986</v>
      </c>
      <c r="D330">
        <v>-31.983273620999999</v>
      </c>
      <c r="E330">
        <v>115.820124545</v>
      </c>
      <c r="F330">
        <v>1.3080000000000001</v>
      </c>
      <c r="G330">
        <v>0</v>
      </c>
      <c r="H330" s="30">
        <f t="shared" si="67"/>
        <v>5.2019356749951839</v>
      </c>
      <c r="I330" s="31">
        <f t="shared" si="68"/>
        <v>447.49254584225463</v>
      </c>
      <c r="J330" t="b">
        <f t="shared" si="69"/>
        <v>1</v>
      </c>
      <c r="K330" t="b">
        <f t="shared" si="70"/>
        <v>0</v>
      </c>
      <c r="L330" t="b">
        <f t="shared" si="71"/>
        <v>0</v>
      </c>
      <c r="M330" t="b">
        <f t="shared" si="72"/>
        <v>1</v>
      </c>
      <c r="N330" t="b">
        <f t="shared" si="73"/>
        <v>0</v>
      </c>
      <c r="O330">
        <f t="shared" si="77"/>
        <v>9</v>
      </c>
      <c r="P330" s="31">
        <f t="shared" si="74"/>
        <v>483.00455992575735</v>
      </c>
      <c r="Q330" t="str">
        <f t="shared" si="75"/>
        <v>WT</v>
      </c>
      <c r="R330" s="32"/>
      <c r="S330" t="str">
        <f t="shared" si="76"/>
        <v>WT</v>
      </c>
    </row>
    <row r="331" spans="1:19" x14ac:dyDescent="0.2">
      <c r="A331" t="s">
        <v>767</v>
      </c>
      <c r="B331" s="29">
        <f t="shared" si="65"/>
        <v>45904.367575521239</v>
      </c>
      <c r="C331" s="29">
        <f t="shared" si="66"/>
        <v>45904.700908854575</v>
      </c>
      <c r="D331">
        <v>-31.983213616</v>
      </c>
      <c r="E331">
        <v>115.820125453</v>
      </c>
      <c r="F331">
        <v>1.2829999999999999</v>
      </c>
      <c r="G331">
        <v>0</v>
      </c>
      <c r="H331" s="30">
        <f t="shared" si="67"/>
        <v>5.1807749317958951</v>
      </c>
      <c r="I331" s="31">
        <f t="shared" si="68"/>
        <v>444.38417548194684</v>
      </c>
      <c r="J331" t="b">
        <f t="shared" si="69"/>
        <v>1</v>
      </c>
      <c r="K331" t="b">
        <f t="shared" si="70"/>
        <v>0</v>
      </c>
      <c r="L331" t="b">
        <f t="shared" si="71"/>
        <v>0</v>
      </c>
      <c r="M331" t="b">
        <f t="shared" si="72"/>
        <v>1</v>
      </c>
      <c r="N331" t="b">
        <f t="shared" si="73"/>
        <v>0</v>
      </c>
      <c r="O331">
        <f t="shared" si="77"/>
        <v>9</v>
      </c>
      <c r="P331" s="31">
        <f t="shared" si="74"/>
        <v>483.00455992575735</v>
      </c>
      <c r="Q331" t="str">
        <f t="shared" si="75"/>
        <v>WT</v>
      </c>
      <c r="R331" s="32"/>
      <c r="S331" t="str">
        <f t="shared" si="76"/>
        <v>WT</v>
      </c>
    </row>
    <row r="332" spans="1:19" x14ac:dyDescent="0.2">
      <c r="A332" t="s">
        <v>768</v>
      </c>
      <c r="B332" s="29">
        <f t="shared" si="65"/>
        <v>45904.367635483912</v>
      </c>
      <c r="C332" s="29">
        <f t="shared" si="66"/>
        <v>45904.700968817247</v>
      </c>
      <c r="D332">
        <v>-31.983153189999999</v>
      </c>
      <c r="E332">
        <v>115.820123704</v>
      </c>
      <c r="F332">
        <v>1.2969999999999999</v>
      </c>
      <c r="G332">
        <v>0</v>
      </c>
      <c r="H332" s="30">
        <f t="shared" si="67"/>
        <v>5.2019620779901743</v>
      </c>
      <c r="I332" s="31">
        <f t="shared" si="68"/>
        <v>441.11072016956689</v>
      </c>
      <c r="J332" t="b">
        <f t="shared" si="69"/>
        <v>1</v>
      </c>
      <c r="K332" t="b">
        <f t="shared" si="70"/>
        <v>0</v>
      </c>
      <c r="L332" t="b">
        <f t="shared" si="71"/>
        <v>0</v>
      </c>
      <c r="M332" t="b">
        <f t="shared" si="72"/>
        <v>1</v>
      </c>
      <c r="N332" t="b">
        <f t="shared" si="73"/>
        <v>0</v>
      </c>
      <c r="O332">
        <f t="shared" si="77"/>
        <v>9</v>
      </c>
      <c r="P332" s="31">
        <f t="shared" si="74"/>
        <v>483.00455992575735</v>
      </c>
      <c r="Q332" t="str">
        <f t="shared" si="75"/>
        <v>WT</v>
      </c>
      <c r="R332" s="32"/>
      <c r="S332" t="str">
        <f t="shared" si="76"/>
        <v>WT</v>
      </c>
    </row>
    <row r="333" spans="1:19" x14ac:dyDescent="0.2">
      <c r="A333" t="s">
        <v>769</v>
      </c>
      <c r="B333" s="29">
        <f t="shared" si="65"/>
        <v>45904.367695691806</v>
      </c>
      <c r="C333" s="29">
        <f t="shared" si="66"/>
        <v>45904.701029025142</v>
      </c>
      <c r="D333">
        <v>-31.983094406999999</v>
      </c>
      <c r="E333">
        <v>115.82012135799999</v>
      </c>
      <c r="F333">
        <v>1.2569999999999999</v>
      </c>
      <c r="G333">
        <v>0</v>
      </c>
      <c r="H333" s="30">
        <f t="shared" si="67"/>
        <v>5.1801739493384957</v>
      </c>
      <c r="I333" s="31">
        <f t="shared" si="68"/>
        <v>437.94741577770202</v>
      </c>
      <c r="J333" t="b">
        <f t="shared" si="69"/>
        <v>1</v>
      </c>
      <c r="K333" t="b">
        <f t="shared" si="70"/>
        <v>0</v>
      </c>
      <c r="L333" t="b">
        <f t="shared" si="71"/>
        <v>0</v>
      </c>
      <c r="M333" t="b">
        <f t="shared" si="72"/>
        <v>1</v>
      </c>
      <c r="N333" t="b">
        <f t="shared" si="73"/>
        <v>0</v>
      </c>
      <c r="O333">
        <f t="shared" si="77"/>
        <v>9</v>
      </c>
      <c r="P333" s="31">
        <f t="shared" si="74"/>
        <v>483.00455992575735</v>
      </c>
      <c r="Q333" t="str">
        <f t="shared" si="75"/>
        <v>WT</v>
      </c>
      <c r="R333" s="32"/>
      <c r="S333" t="str">
        <f t="shared" si="76"/>
        <v>WT</v>
      </c>
    </row>
    <row r="334" spans="1:19" x14ac:dyDescent="0.2">
      <c r="A334" t="s">
        <v>770</v>
      </c>
      <c r="B334" s="29">
        <f t="shared" si="65"/>
        <v>45904.367755647523</v>
      </c>
      <c r="C334" s="29">
        <f t="shared" si="66"/>
        <v>45904.701088980859</v>
      </c>
      <c r="D334">
        <v>-31.983034289999999</v>
      </c>
      <c r="E334">
        <v>115.820121211</v>
      </c>
      <c r="F334">
        <v>1.29</v>
      </c>
      <c r="G334">
        <v>0</v>
      </c>
      <c r="H334" s="30">
        <f t="shared" si="67"/>
        <v>5.2125741960480809</v>
      </c>
      <c r="I334" s="31">
        <f t="shared" si="68"/>
        <v>434.98147257453388</v>
      </c>
      <c r="J334" t="b">
        <f t="shared" si="69"/>
        <v>1</v>
      </c>
      <c r="K334" t="b">
        <f t="shared" si="70"/>
        <v>0</v>
      </c>
      <c r="L334" t="b">
        <f t="shared" si="71"/>
        <v>0</v>
      </c>
      <c r="M334" t="b">
        <f t="shared" si="72"/>
        <v>1</v>
      </c>
      <c r="N334" t="b">
        <f t="shared" si="73"/>
        <v>0</v>
      </c>
      <c r="O334">
        <f t="shared" si="77"/>
        <v>9</v>
      </c>
      <c r="P334" s="31">
        <f t="shared" si="74"/>
        <v>483.00455992575735</v>
      </c>
      <c r="Q334" t="str">
        <f t="shared" si="75"/>
        <v>WT</v>
      </c>
      <c r="R334" s="32"/>
      <c r="S334" t="str">
        <f t="shared" si="76"/>
        <v>WT</v>
      </c>
    </row>
    <row r="335" spans="1:19" x14ac:dyDescent="0.2">
      <c r="A335" t="s">
        <v>771</v>
      </c>
      <c r="B335" s="29">
        <f t="shared" si="65"/>
        <v>45904.367815978243</v>
      </c>
      <c r="C335" s="29">
        <f t="shared" si="66"/>
        <v>45904.701149311579</v>
      </c>
      <c r="D335">
        <v>-31.982974254999998</v>
      </c>
      <c r="E335">
        <v>115.82012055600001</v>
      </c>
      <c r="F335">
        <v>1.2809999999999999</v>
      </c>
      <c r="G335">
        <v>0</v>
      </c>
      <c r="H335" s="30">
        <f t="shared" si="67"/>
        <v>5.0065459683537483</v>
      </c>
      <c r="I335" s="31">
        <f t="shared" si="68"/>
        <v>432.05903960358944</v>
      </c>
      <c r="J335" t="b">
        <f t="shared" si="69"/>
        <v>1</v>
      </c>
      <c r="K335" t="b">
        <f t="shared" si="70"/>
        <v>0</v>
      </c>
      <c r="L335" t="b">
        <f t="shared" si="71"/>
        <v>0</v>
      </c>
      <c r="M335" t="b">
        <f t="shared" si="72"/>
        <v>1</v>
      </c>
      <c r="N335" t="b">
        <f t="shared" si="73"/>
        <v>0</v>
      </c>
      <c r="O335">
        <f t="shared" si="77"/>
        <v>9</v>
      </c>
      <c r="P335" s="31">
        <f t="shared" si="74"/>
        <v>483.00455992575735</v>
      </c>
      <c r="Q335" t="str">
        <f t="shared" si="75"/>
        <v>WT</v>
      </c>
      <c r="R335" s="32"/>
      <c r="S335" t="str">
        <f t="shared" si="76"/>
        <v>WT</v>
      </c>
    </row>
    <row r="336" spans="1:19" x14ac:dyDescent="0.2">
      <c r="A336" t="s">
        <v>772</v>
      </c>
      <c r="B336" s="29">
        <f t="shared" si="65"/>
        <v>45904.367873924377</v>
      </c>
      <c r="C336" s="29">
        <f t="shared" si="66"/>
        <v>45904.701207257713</v>
      </c>
      <c r="D336">
        <v>-31.982915010999999</v>
      </c>
      <c r="E336">
        <v>115.820122373</v>
      </c>
      <c r="F336">
        <v>1.3160000000000001</v>
      </c>
      <c r="G336">
        <v>0</v>
      </c>
      <c r="H336" s="30">
        <f t="shared" si="67"/>
        <v>5.0088820047676563</v>
      </c>
      <c r="I336" s="31">
        <f t="shared" si="68"/>
        <v>429.46925754770751</v>
      </c>
      <c r="J336" t="b">
        <f t="shared" si="69"/>
        <v>1</v>
      </c>
      <c r="K336" t="b">
        <f t="shared" si="70"/>
        <v>0</v>
      </c>
      <c r="L336" t="b">
        <f t="shared" si="71"/>
        <v>0</v>
      </c>
      <c r="M336" t="b">
        <f t="shared" si="72"/>
        <v>1</v>
      </c>
      <c r="N336" t="b">
        <f t="shared" si="73"/>
        <v>0</v>
      </c>
      <c r="O336">
        <f t="shared" si="77"/>
        <v>9</v>
      </c>
      <c r="P336" s="31">
        <f t="shared" si="74"/>
        <v>483.00455992575735</v>
      </c>
      <c r="Q336" t="str">
        <f t="shared" si="75"/>
        <v>WT</v>
      </c>
      <c r="R336" s="32"/>
      <c r="S336" t="str">
        <f t="shared" si="76"/>
        <v>WT</v>
      </c>
    </row>
    <row r="337" spans="1:19" x14ac:dyDescent="0.2">
      <c r="A337" t="s">
        <v>773</v>
      </c>
      <c r="B337" s="29">
        <f t="shared" si="65"/>
        <v>45904.367931897548</v>
      </c>
      <c r="C337" s="29">
        <f t="shared" si="66"/>
        <v>45904.701265230884</v>
      </c>
      <c r="D337">
        <v>-31.982854654</v>
      </c>
      <c r="E337">
        <v>115.820123267</v>
      </c>
      <c r="F337">
        <v>1.34</v>
      </c>
      <c r="G337">
        <v>0</v>
      </c>
      <c r="H337" s="30">
        <f t="shared" si="67"/>
        <v>5.0064334413036704</v>
      </c>
      <c r="I337" s="31">
        <f t="shared" si="68"/>
        <v>426.83643069426631</v>
      </c>
      <c r="J337" t="b">
        <f t="shared" si="69"/>
        <v>1</v>
      </c>
      <c r="K337" t="b">
        <f t="shared" si="70"/>
        <v>0</v>
      </c>
      <c r="L337" t="b">
        <f t="shared" si="71"/>
        <v>0</v>
      </c>
      <c r="M337" t="b">
        <f t="shared" si="72"/>
        <v>1</v>
      </c>
      <c r="N337" t="b">
        <f t="shared" si="73"/>
        <v>0</v>
      </c>
      <c r="O337">
        <f t="shared" si="77"/>
        <v>9</v>
      </c>
      <c r="P337" s="31">
        <f t="shared" si="74"/>
        <v>483.00455992575735</v>
      </c>
      <c r="Q337" t="str">
        <f t="shared" si="75"/>
        <v>WT</v>
      </c>
      <c r="R337" s="32"/>
      <c r="S337" t="str">
        <f t="shared" si="76"/>
        <v>WT</v>
      </c>
    </row>
    <row r="338" spans="1:19" x14ac:dyDescent="0.2">
      <c r="A338" t="s">
        <v>774</v>
      </c>
      <c r="B338" s="29">
        <f t="shared" si="65"/>
        <v>45904.36798984238</v>
      </c>
      <c r="C338" s="29">
        <f t="shared" si="66"/>
        <v>45904.701323175716</v>
      </c>
      <c r="D338">
        <v>-31.982797937000001</v>
      </c>
      <c r="E338">
        <v>115.820124225</v>
      </c>
      <c r="F338">
        <v>1.26</v>
      </c>
      <c r="G338">
        <v>0</v>
      </c>
      <c r="H338" s="30">
        <f t="shared" si="67"/>
        <v>5.008533108048141</v>
      </c>
      <c r="I338" s="31">
        <f t="shared" si="68"/>
        <v>424.45450441786602</v>
      </c>
      <c r="J338" t="b">
        <f t="shared" si="69"/>
        <v>1</v>
      </c>
      <c r="K338" t="b">
        <f t="shared" si="70"/>
        <v>0</v>
      </c>
      <c r="L338" t="b">
        <f t="shared" si="71"/>
        <v>0</v>
      </c>
      <c r="M338" t="b">
        <f t="shared" si="72"/>
        <v>1</v>
      </c>
      <c r="N338" t="b">
        <f t="shared" si="73"/>
        <v>0</v>
      </c>
      <c r="O338">
        <f t="shared" si="77"/>
        <v>9</v>
      </c>
      <c r="P338" s="31">
        <f t="shared" si="74"/>
        <v>483.00455992575735</v>
      </c>
      <c r="Q338" t="str">
        <f t="shared" si="75"/>
        <v>WT</v>
      </c>
      <c r="R338" s="32"/>
      <c r="S338" t="str">
        <f t="shared" si="76"/>
        <v>WT</v>
      </c>
    </row>
    <row r="339" spans="1:19" x14ac:dyDescent="0.2">
      <c r="A339" t="s">
        <v>775</v>
      </c>
      <c r="B339" s="29">
        <f t="shared" si="65"/>
        <v>45904.368047811513</v>
      </c>
      <c r="C339" s="29">
        <f t="shared" si="66"/>
        <v>45904.701381144849</v>
      </c>
      <c r="D339">
        <v>-31.982740897999999</v>
      </c>
      <c r="E339">
        <v>115.82012359300001</v>
      </c>
      <c r="F339">
        <v>1.266</v>
      </c>
      <c r="G339">
        <v>0</v>
      </c>
      <c r="H339" s="30">
        <f t="shared" si="67"/>
        <v>5.1687565399333835</v>
      </c>
      <c r="I339" s="31">
        <f t="shared" si="68"/>
        <v>422.00085529014098</v>
      </c>
      <c r="J339" t="b">
        <f t="shared" si="69"/>
        <v>1</v>
      </c>
      <c r="K339" t="b">
        <f t="shared" si="70"/>
        <v>0</v>
      </c>
      <c r="L339" t="b">
        <f t="shared" si="71"/>
        <v>0</v>
      </c>
      <c r="M339" t="b">
        <f t="shared" si="72"/>
        <v>1</v>
      </c>
      <c r="N339" t="b">
        <f t="shared" si="73"/>
        <v>0</v>
      </c>
      <c r="O339">
        <f t="shared" si="77"/>
        <v>9</v>
      </c>
      <c r="P339" s="31">
        <f t="shared" si="74"/>
        <v>483.00455992575735</v>
      </c>
      <c r="Q339" t="str">
        <f t="shared" si="75"/>
        <v>WT</v>
      </c>
      <c r="R339" s="32"/>
      <c r="S339" t="str">
        <f t="shared" si="76"/>
        <v>WT</v>
      </c>
    </row>
    <row r="340" spans="1:19" x14ac:dyDescent="0.2">
      <c r="A340" t="s">
        <v>776</v>
      </c>
      <c r="B340" s="29">
        <f t="shared" si="65"/>
        <v>45904.368107635084</v>
      </c>
      <c r="C340" s="29">
        <f t="shared" si="66"/>
        <v>45904.70144096842</v>
      </c>
      <c r="D340">
        <v>-31.982680479999999</v>
      </c>
      <c r="E340">
        <v>115.82012371</v>
      </c>
      <c r="F340">
        <v>1.3</v>
      </c>
      <c r="G340">
        <v>0</v>
      </c>
      <c r="H340" s="30">
        <f t="shared" si="67"/>
        <v>5.0088009098544717</v>
      </c>
      <c r="I340" s="31">
        <f t="shared" si="68"/>
        <v>419.56006158633119</v>
      </c>
      <c r="J340" t="b">
        <f t="shared" si="69"/>
        <v>1</v>
      </c>
      <c r="K340" t="b">
        <f t="shared" si="70"/>
        <v>0</v>
      </c>
      <c r="L340" t="b">
        <f t="shared" si="71"/>
        <v>0</v>
      </c>
      <c r="M340" t="b">
        <f t="shared" si="72"/>
        <v>1</v>
      </c>
      <c r="N340" t="b">
        <f t="shared" si="73"/>
        <v>0</v>
      </c>
      <c r="O340">
        <f t="shared" si="77"/>
        <v>9</v>
      </c>
      <c r="P340" s="31">
        <f t="shared" si="74"/>
        <v>483.00455992575735</v>
      </c>
      <c r="Q340" t="str">
        <f t="shared" si="75"/>
        <v>WT</v>
      </c>
      <c r="R340" s="32"/>
      <c r="S340" t="str">
        <f t="shared" si="76"/>
        <v>WT</v>
      </c>
    </row>
    <row r="341" spans="1:19" x14ac:dyDescent="0.2">
      <c r="A341" t="s">
        <v>777</v>
      </c>
      <c r="B341" s="29">
        <f t="shared" si="65"/>
        <v>45904.368165607317</v>
      </c>
      <c r="C341" s="29">
        <f t="shared" si="66"/>
        <v>45904.701498940653</v>
      </c>
      <c r="D341">
        <v>-31.982622754000001</v>
      </c>
      <c r="E341">
        <v>115.820124866</v>
      </c>
      <c r="F341">
        <v>1.282</v>
      </c>
      <c r="G341">
        <v>0</v>
      </c>
      <c r="H341" s="30">
        <f t="shared" si="67"/>
        <v>5.200061690993607</v>
      </c>
      <c r="I341" s="31">
        <f t="shared" si="68"/>
        <v>417.40818747932684</v>
      </c>
      <c r="J341" t="b">
        <f t="shared" si="69"/>
        <v>1</v>
      </c>
      <c r="K341" t="b">
        <f t="shared" si="70"/>
        <v>0</v>
      </c>
      <c r="L341" t="b">
        <f t="shared" si="71"/>
        <v>0</v>
      </c>
      <c r="M341" t="b">
        <f t="shared" si="72"/>
        <v>1</v>
      </c>
      <c r="N341" t="b">
        <f t="shared" si="73"/>
        <v>0</v>
      </c>
      <c r="O341">
        <f t="shared" si="77"/>
        <v>9</v>
      </c>
      <c r="P341" s="31">
        <f t="shared" si="74"/>
        <v>483.00455992575735</v>
      </c>
      <c r="Q341" t="str">
        <f t="shared" si="75"/>
        <v>WT</v>
      </c>
      <c r="R341" s="32"/>
      <c r="S341" t="str">
        <f t="shared" si="76"/>
        <v>WT</v>
      </c>
    </row>
    <row r="342" spans="1:19" x14ac:dyDescent="0.2">
      <c r="A342" t="s">
        <v>778</v>
      </c>
      <c r="B342" s="29">
        <f t="shared" si="65"/>
        <v>45904.368225793216</v>
      </c>
      <c r="C342" s="29">
        <f t="shared" si="66"/>
        <v>45904.701559126552</v>
      </c>
      <c r="D342">
        <v>-31.982575927999999</v>
      </c>
      <c r="E342">
        <v>115.82012618900001</v>
      </c>
      <c r="F342">
        <v>1.002</v>
      </c>
      <c r="G342">
        <v>0</v>
      </c>
      <c r="H342" s="30">
        <f t="shared" si="67"/>
        <v>5.1816688617691398</v>
      </c>
      <c r="I342" s="31">
        <f t="shared" si="68"/>
        <v>415.76154548751856</v>
      </c>
      <c r="J342" t="b">
        <f t="shared" si="69"/>
        <v>1</v>
      </c>
      <c r="K342" t="b">
        <f t="shared" si="70"/>
        <v>0</v>
      </c>
      <c r="L342" t="b">
        <f t="shared" si="71"/>
        <v>0</v>
      </c>
      <c r="M342" t="b">
        <f t="shared" si="72"/>
        <v>1</v>
      </c>
      <c r="N342" t="b">
        <f t="shared" si="73"/>
        <v>0</v>
      </c>
      <c r="O342">
        <f t="shared" si="77"/>
        <v>9</v>
      </c>
      <c r="P342" s="31">
        <f t="shared" si="74"/>
        <v>483.00455992575735</v>
      </c>
      <c r="Q342" t="str">
        <f t="shared" si="75"/>
        <v>WT</v>
      </c>
      <c r="R342" s="32"/>
      <c r="S342" t="str">
        <f t="shared" si="76"/>
        <v>WT</v>
      </c>
    </row>
    <row r="343" spans="1:19" x14ac:dyDescent="0.2">
      <c r="A343" t="s">
        <v>779</v>
      </c>
      <c r="B343" s="29">
        <f t="shared" si="65"/>
        <v>45904.368285766235</v>
      </c>
      <c r="C343" s="29">
        <f t="shared" si="66"/>
        <v>45904.701619099571</v>
      </c>
      <c r="D343">
        <v>-31.982538461000001</v>
      </c>
      <c r="E343">
        <v>115.82012665000001</v>
      </c>
      <c r="F343">
        <v>0.80400000000000005</v>
      </c>
      <c r="G343">
        <v>0</v>
      </c>
      <c r="H343" s="30">
        <f t="shared" si="67"/>
        <v>5.005342117510736</v>
      </c>
      <c r="I343" s="31">
        <f t="shared" si="68"/>
        <v>414.43312025120304</v>
      </c>
      <c r="J343" t="b">
        <f t="shared" si="69"/>
        <v>1</v>
      </c>
      <c r="K343" t="b">
        <f t="shared" si="70"/>
        <v>0</v>
      </c>
      <c r="L343" t="b">
        <f t="shared" si="71"/>
        <v>0</v>
      </c>
      <c r="M343" t="b">
        <f t="shared" si="72"/>
        <v>1</v>
      </c>
      <c r="N343" t="b">
        <f t="shared" si="73"/>
        <v>0</v>
      </c>
      <c r="O343">
        <f t="shared" si="77"/>
        <v>9</v>
      </c>
      <c r="P343" s="31">
        <f t="shared" si="74"/>
        <v>483.00455992575735</v>
      </c>
      <c r="Q343" t="str">
        <f t="shared" si="75"/>
        <v>WT</v>
      </c>
      <c r="R343" s="32"/>
      <c r="S343" t="str">
        <f t="shared" si="76"/>
        <v>WT</v>
      </c>
    </row>
    <row r="344" spans="1:19" x14ac:dyDescent="0.2">
      <c r="A344" t="s">
        <v>780</v>
      </c>
      <c r="B344" s="29">
        <f t="shared" si="65"/>
        <v>45904.368343698436</v>
      </c>
      <c r="C344" s="29">
        <f t="shared" si="66"/>
        <v>45904.701677031771</v>
      </c>
      <c r="D344">
        <v>-31.982495227000001</v>
      </c>
      <c r="E344">
        <v>115.820129104</v>
      </c>
      <c r="F344">
        <v>0.96199999999999997</v>
      </c>
      <c r="G344">
        <v>0</v>
      </c>
      <c r="H344" s="30">
        <f t="shared" si="67"/>
        <v>5.1934571703895926</v>
      </c>
      <c r="I344" s="31">
        <f t="shared" si="68"/>
        <v>413.11928337172128</v>
      </c>
      <c r="J344" t="b">
        <f t="shared" si="69"/>
        <v>1</v>
      </c>
      <c r="K344" t="b">
        <f t="shared" si="70"/>
        <v>0</v>
      </c>
      <c r="L344" t="b">
        <f t="shared" si="71"/>
        <v>0</v>
      </c>
      <c r="M344" t="b">
        <f t="shared" si="72"/>
        <v>1</v>
      </c>
      <c r="N344" t="b">
        <f t="shared" si="73"/>
        <v>0</v>
      </c>
      <c r="O344">
        <f t="shared" si="77"/>
        <v>9</v>
      </c>
      <c r="P344" s="31">
        <f t="shared" si="74"/>
        <v>483.00455992575735</v>
      </c>
      <c r="Q344" t="str">
        <f t="shared" si="75"/>
        <v>WT</v>
      </c>
      <c r="R344" s="32"/>
      <c r="S344" t="str">
        <f t="shared" si="76"/>
        <v>WT</v>
      </c>
    </row>
    <row r="345" spans="1:19" x14ac:dyDescent="0.2">
      <c r="A345" t="s">
        <v>781</v>
      </c>
      <c r="B345" s="29">
        <f t="shared" si="65"/>
        <v>45904.368403807894</v>
      </c>
      <c r="C345" s="29">
        <f t="shared" si="66"/>
        <v>45904.701737141229</v>
      </c>
      <c r="D345">
        <v>-31.982447804</v>
      </c>
      <c r="E345">
        <v>115.820114023</v>
      </c>
      <c r="F345">
        <v>1.052</v>
      </c>
      <c r="G345">
        <v>0</v>
      </c>
      <c r="H345" s="30">
        <f t="shared" si="67"/>
        <v>5.221250094473362</v>
      </c>
      <c r="I345" s="31">
        <f t="shared" si="68"/>
        <v>410.14026833153031</v>
      </c>
      <c r="J345" t="b">
        <f t="shared" si="69"/>
        <v>1</v>
      </c>
      <c r="K345" t="b">
        <f t="shared" si="70"/>
        <v>0</v>
      </c>
      <c r="L345" t="b">
        <f t="shared" si="71"/>
        <v>0</v>
      </c>
      <c r="M345" t="b">
        <f t="shared" si="72"/>
        <v>1</v>
      </c>
      <c r="N345" t="b">
        <f t="shared" si="73"/>
        <v>0</v>
      </c>
      <c r="O345">
        <f t="shared" si="77"/>
        <v>9</v>
      </c>
      <c r="P345" s="31">
        <f t="shared" si="74"/>
        <v>483.00455992575735</v>
      </c>
      <c r="Q345" t="str">
        <f t="shared" si="75"/>
        <v>WT</v>
      </c>
      <c r="R345" s="32"/>
      <c r="S345" t="str">
        <f t="shared" si="76"/>
        <v>WT</v>
      </c>
    </row>
    <row r="346" spans="1:19" x14ac:dyDescent="0.2">
      <c r="A346" t="s">
        <v>782</v>
      </c>
      <c r="B346" s="29">
        <f t="shared" si="65"/>
        <v>45904.368464239029</v>
      </c>
      <c r="C346" s="29">
        <f t="shared" si="66"/>
        <v>45904.701797572365</v>
      </c>
      <c r="D346">
        <v>-31.982419804999999</v>
      </c>
      <c r="E346">
        <v>115.82006097599999</v>
      </c>
      <c r="F346">
        <v>1.129</v>
      </c>
      <c r="G346">
        <v>0</v>
      </c>
      <c r="H346" s="30">
        <f t="shared" si="67"/>
        <v>5.2008317783474922</v>
      </c>
      <c r="I346" s="31">
        <f t="shared" si="68"/>
        <v>404.43145378915403</v>
      </c>
      <c r="J346" t="b">
        <f t="shared" si="69"/>
        <v>1</v>
      </c>
      <c r="K346" t="b">
        <f t="shared" si="70"/>
        <v>0</v>
      </c>
      <c r="L346" t="b">
        <f t="shared" si="71"/>
        <v>0</v>
      </c>
      <c r="M346" t="b">
        <f t="shared" si="72"/>
        <v>1</v>
      </c>
      <c r="N346" t="b">
        <f t="shared" si="73"/>
        <v>0</v>
      </c>
      <c r="O346">
        <f t="shared" si="77"/>
        <v>9</v>
      </c>
      <c r="P346" s="31">
        <f t="shared" si="74"/>
        <v>483.00455992575735</v>
      </c>
      <c r="Q346" t="str">
        <f t="shared" si="75"/>
        <v>WT</v>
      </c>
      <c r="R346" s="32"/>
      <c r="S346" t="str">
        <f t="shared" si="76"/>
        <v>WT</v>
      </c>
    </row>
    <row r="347" spans="1:19" x14ac:dyDescent="0.2">
      <c r="A347" t="s">
        <v>783</v>
      </c>
      <c r="B347" s="29">
        <f t="shared" si="65"/>
        <v>45904.368524433841</v>
      </c>
      <c r="C347" s="29">
        <f t="shared" si="66"/>
        <v>45904.701857767177</v>
      </c>
      <c r="D347">
        <v>-31.982415766999999</v>
      </c>
      <c r="E347">
        <v>115.81999679499999</v>
      </c>
      <c r="F347">
        <v>1.167</v>
      </c>
      <c r="G347">
        <v>0</v>
      </c>
      <c r="H347" s="30">
        <f t="shared" si="67"/>
        <v>5.1802858477458358</v>
      </c>
      <c r="I347" s="31">
        <f t="shared" si="68"/>
        <v>398.52408008279826</v>
      </c>
      <c r="J347" t="b">
        <f t="shared" si="69"/>
        <v>1</v>
      </c>
      <c r="K347" t="b">
        <f t="shared" si="70"/>
        <v>0</v>
      </c>
      <c r="L347" t="b">
        <f t="shared" si="71"/>
        <v>0</v>
      </c>
      <c r="M347" t="b">
        <f t="shared" si="72"/>
        <v>1</v>
      </c>
      <c r="N347" t="b">
        <f t="shared" si="73"/>
        <v>0</v>
      </c>
      <c r="O347">
        <f t="shared" si="77"/>
        <v>9</v>
      </c>
      <c r="P347" s="31">
        <f t="shared" si="74"/>
        <v>483.00455992575735</v>
      </c>
      <c r="Q347" t="str">
        <f t="shared" si="75"/>
        <v>WT</v>
      </c>
      <c r="R347" s="32"/>
      <c r="S347" t="str">
        <f t="shared" si="76"/>
        <v>WT</v>
      </c>
    </row>
    <row r="348" spans="1:19" x14ac:dyDescent="0.2">
      <c r="A348" t="s">
        <v>784</v>
      </c>
      <c r="B348" s="29">
        <f t="shared" si="65"/>
        <v>45904.368584390853</v>
      </c>
      <c r="C348" s="29">
        <f t="shared" si="66"/>
        <v>45904.701917724189</v>
      </c>
      <c r="D348">
        <v>-31.982418065000001</v>
      </c>
      <c r="E348">
        <v>115.819933474</v>
      </c>
      <c r="F348">
        <v>1.1539999999999999</v>
      </c>
      <c r="G348">
        <v>0</v>
      </c>
      <c r="H348" s="30">
        <f t="shared" si="67"/>
        <v>5.1898745354264975</v>
      </c>
      <c r="I348" s="31">
        <f t="shared" si="68"/>
        <v>392.91523703195048</v>
      </c>
      <c r="J348" t="b">
        <f t="shared" si="69"/>
        <v>1</v>
      </c>
      <c r="K348" t="b">
        <f t="shared" si="70"/>
        <v>0</v>
      </c>
      <c r="L348" t="b">
        <f t="shared" si="71"/>
        <v>0</v>
      </c>
      <c r="M348" t="b">
        <f t="shared" si="72"/>
        <v>1</v>
      </c>
      <c r="N348" t="b">
        <f t="shared" si="73"/>
        <v>0</v>
      </c>
      <c r="O348">
        <f t="shared" si="77"/>
        <v>9</v>
      </c>
      <c r="P348" s="31">
        <f t="shared" si="74"/>
        <v>483.00455992575735</v>
      </c>
      <c r="Q348" t="str">
        <f t="shared" si="75"/>
        <v>WT</v>
      </c>
      <c r="R348" s="32"/>
      <c r="S348" t="str">
        <f t="shared" si="76"/>
        <v>WT</v>
      </c>
    </row>
    <row r="349" spans="1:19" x14ac:dyDescent="0.2">
      <c r="A349" t="s">
        <v>785</v>
      </c>
      <c r="B349" s="29">
        <f t="shared" si="65"/>
        <v>45904.368644458846</v>
      </c>
      <c r="C349" s="29">
        <f t="shared" si="66"/>
        <v>45904.701977792181</v>
      </c>
      <c r="D349">
        <v>-31.982417382000001</v>
      </c>
      <c r="E349">
        <v>115.819868695</v>
      </c>
      <c r="F349">
        <v>1.177</v>
      </c>
      <c r="G349">
        <v>0</v>
      </c>
      <c r="H349" s="30">
        <f t="shared" si="67"/>
        <v>5.0089549273252487</v>
      </c>
      <c r="I349" s="31">
        <f t="shared" si="68"/>
        <v>387.08316578805642</v>
      </c>
      <c r="J349" t="b">
        <f t="shared" si="69"/>
        <v>1</v>
      </c>
      <c r="K349" t="b">
        <f t="shared" si="70"/>
        <v>0</v>
      </c>
      <c r="L349" t="b">
        <f t="shared" si="71"/>
        <v>0</v>
      </c>
      <c r="M349" t="b">
        <f t="shared" si="72"/>
        <v>1</v>
      </c>
      <c r="N349" t="b">
        <f t="shared" si="73"/>
        <v>0</v>
      </c>
      <c r="O349">
        <f t="shared" si="77"/>
        <v>9</v>
      </c>
      <c r="P349" s="31">
        <f t="shared" si="74"/>
        <v>483.00455992575735</v>
      </c>
      <c r="Q349" t="str">
        <f t="shared" si="75"/>
        <v>WT</v>
      </c>
      <c r="R349" s="32"/>
      <c r="S349" t="str">
        <f t="shared" si="76"/>
        <v>WT</v>
      </c>
    </row>
    <row r="350" spans="1:19" x14ac:dyDescent="0.2">
      <c r="A350" t="s">
        <v>786</v>
      </c>
      <c r="B350" s="29">
        <f t="shared" si="65"/>
        <v>45904.368702432861</v>
      </c>
      <c r="C350" s="29">
        <f t="shared" si="66"/>
        <v>45904.702035766197</v>
      </c>
      <c r="D350">
        <v>-31.982415742000001</v>
      </c>
      <c r="E350">
        <v>115.81980166300001</v>
      </c>
      <c r="F350">
        <v>1.2629999999999999</v>
      </c>
      <c r="G350">
        <v>0</v>
      </c>
      <c r="H350" s="30">
        <f t="shared" si="67"/>
        <v>5.1896626828238368</v>
      </c>
      <c r="I350" s="31">
        <f t="shared" si="68"/>
        <v>381.02454304457177</v>
      </c>
      <c r="J350" t="b">
        <f t="shared" si="69"/>
        <v>1</v>
      </c>
      <c r="K350" t="b">
        <f t="shared" si="70"/>
        <v>0</v>
      </c>
      <c r="L350" t="b">
        <f t="shared" si="71"/>
        <v>0</v>
      </c>
      <c r="M350" t="b">
        <f t="shared" si="72"/>
        <v>1</v>
      </c>
      <c r="N350" t="b">
        <f t="shared" si="73"/>
        <v>0</v>
      </c>
      <c r="O350">
        <f t="shared" si="77"/>
        <v>9</v>
      </c>
      <c r="P350" s="31">
        <f t="shared" si="74"/>
        <v>483.00455992575735</v>
      </c>
      <c r="Q350" t="str">
        <f t="shared" si="75"/>
        <v>WT</v>
      </c>
      <c r="R350" s="32"/>
      <c r="S350" t="str">
        <f t="shared" si="76"/>
        <v>WT</v>
      </c>
    </row>
    <row r="351" spans="1:19" x14ac:dyDescent="0.2">
      <c r="A351" t="s">
        <v>787</v>
      </c>
      <c r="B351" s="29">
        <f t="shared" si="65"/>
        <v>45904.368762498401</v>
      </c>
      <c r="C351" s="29">
        <f t="shared" si="66"/>
        <v>45904.702095831737</v>
      </c>
      <c r="D351">
        <v>-31.982416828000002</v>
      </c>
      <c r="E351">
        <v>115.81973166900001</v>
      </c>
      <c r="F351">
        <v>1.272</v>
      </c>
      <c r="G351">
        <v>0</v>
      </c>
      <c r="H351" s="30">
        <f t="shared" si="67"/>
        <v>5.0083212554454803</v>
      </c>
      <c r="I351" s="31">
        <f t="shared" si="68"/>
        <v>374.80780661094303</v>
      </c>
      <c r="J351" t="b">
        <f t="shared" si="69"/>
        <v>1</v>
      </c>
      <c r="K351" t="b">
        <f t="shared" si="70"/>
        <v>0</v>
      </c>
      <c r="L351" t="b">
        <f t="shared" si="71"/>
        <v>0</v>
      </c>
      <c r="M351" t="b">
        <f t="shared" si="72"/>
        <v>1</v>
      </c>
      <c r="N351" t="b">
        <f t="shared" si="73"/>
        <v>0</v>
      </c>
      <c r="O351">
        <f t="shared" si="77"/>
        <v>9</v>
      </c>
      <c r="P351" s="31">
        <f t="shared" si="74"/>
        <v>483.00455992575735</v>
      </c>
      <c r="Q351" t="str">
        <f t="shared" si="75"/>
        <v>WT</v>
      </c>
      <c r="R351" s="32"/>
      <c r="S351" t="str">
        <f t="shared" si="76"/>
        <v>WT</v>
      </c>
    </row>
    <row r="352" spans="1:19" x14ac:dyDescent="0.2">
      <c r="A352" t="s">
        <v>788</v>
      </c>
      <c r="B352" s="29">
        <f t="shared" si="65"/>
        <v>45904.368820465083</v>
      </c>
      <c r="C352" s="29">
        <f t="shared" si="66"/>
        <v>45904.702153798418</v>
      </c>
      <c r="D352">
        <v>-31.982405282999999</v>
      </c>
      <c r="E352">
        <v>115.81966559</v>
      </c>
      <c r="F352">
        <v>1.2709999999999999</v>
      </c>
      <c r="G352">
        <v>0</v>
      </c>
      <c r="H352" s="30">
        <f t="shared" si="67"/>
        <v>5.2332710009068251</v>
      </c>
      <c r="I352" s="31">
        <f t="shared" si="68"/>
        <v>368.49522619982758</v>
      </c>
      <c r="J352" t="b">
        <f t="shared" si="69"/>
        <v>1</v>
      </c>
      <c r="K352" t="b">
        <f t="shared" si="70"/>
        <v>0</v>
      </c>
      <c r="L352" t="b">
        <f t="shared" si="71"/>
        <v>0</v>
      </c>
      <c r="M352" t="b">
        <f t="shared" si="72"/>
        <v>1</v>
      </c>
      <c r="N352" t="b">
        <f t="shared" si="73"/>
        <v>0</v>
      </c>
      <c r="O352">
        <f t="shared" si="77"/>
        <v>9</v>
      </c>
      <c r="P352" s="31">
        <f t="shared" si="74"/>
        <v>483.00455992575735</v>
      </c>
      <c r="Q352" t="str">
        <f t="shared" si="75"/>
        <v>WT</v>
      </c>
      <c r="R352" s="32"/>
      <c r="S352" t="str">
        <f t="shared" si="76"/>
        <v>WT</v>
      </c>
    </row>
    <row r="353" spans="1:19" x14ac:dyDescent="0.2">
      <c r="A353" t="s">
        <v>789</v>
      </c>
      <c r="B353" s="29">
        <f t="shared" si="65"/>
        <v>45904.368881035349</v>
      </c>
      <c r="C353" s="29">
        <f t="shared" si="66"/>
        <v>45904.702214368685</v>
      </c>
      <c r="D353">
        <v>-31.982383436999999</v>
      </c>
      <c r="E353">
        <v>115.819599724</v>
      </c>
      <c r="F353">
        <v>1.2749999999999999</v>
      </c>
      <c r="G353">
        <v>0</v>
      </c>
      <c r="H353" s="30">
        <f t="shared" si="67"/>
        <v>5.1894979784265161</v>
      </c>
      <c r="I353" s="31">
        <f t="shared" si="68"/>
        <v>361.83099135569927</v>
      </c>
      <c r="J353" t="b">
        <f t="shared" si="69"/>
        <v>1</v>
      </c>
      <c r="K353" t="b">
        <f t="shared" si="70"/>
        <v>0</v>
      </c>
      <c r="L353" t="b">
        <f t="shared" si="71"/>
        <v>0</v>
      </c>
      <c r="M353" t="b">
        <f t="shared" si="72"/>
        <v>1</v>
      </c>
      <c r="N353" t="b">
        <f t="shared" si="73"/>
        <v>0</v>
      </c>
      <c r="O353">
        <f t="shared" si="77"/>
        <v>9</v>
      </c>
      <c r="P353" s="31">
        <f t="shared" si="74"/>
        <v>483.00455992575735</v>
      </c>
      <c r="Q353" t="str">
        <f t="shared" si="75"/>
        <v>WT</v>
      </c>
      <c r="R353" s="32"/>
      <c r="S353" t="str">
        <f t="shared" si="76"/>
        <v>WT</v>
      </c>
    </row>
    <row r="354" spans="1:19" x14ac:dyDescent="0.2">
      <c r="A354" t="s">
        <v>790</v>
      </c>
      <c r="B354" s="29">
        <f t="shared" si="65"/>
        <v>45904.368941098983</v>
      </c>
      <c r="C354" s="29">
        <f t="shared" si="66"/>
        <v>45904.702274432319</v>
      </c>
      <c r="D354">
        <v>-31.98235369</v>
      </c>
      <c r="E354">
        <v>115.819539404</v>
      </c>
      <c r="F354">
        <v>1.268</v>
      </c>
      <c r="G354">
        <v>0</v>
      </c>
      <c r="H354" s="30">
        <f t="shared" si="67"/>
        <v>5.1811797777190804</v>
      </c>
      <c r="I354" s="31">
        <f t="shared" si="68"/>
        <v>355.37971247871872</v>
      </c>
      <c r="J354" t="b">
        <f t="shared" si="69"/>
        <v>1</v>
      </c>
      <c r="K354" t="b">
        <f t="shared" si="70"/>
        <v>0</v>
      </c>
      <c r="L354" t="b">
        <f t="shared" si="71"/>
        <v>0</v>
      </c>
      <c r="M354" t="b">
        <f t="shared" si="72"/>
        <v>1</v>
      </c>
      <c r="N354" t="b">
        <f t="shared" si="73"/>
        <v>0</v>
      </c>
      <c r="O354">
        <f t="shared" si="77"/>
        <v>9</v>
      </c>
      <c r="P354" s="31">
        <f t="shared" si="74"/>
        <v>483.00455992575735</v>
      </c>
      <c r="Q354" t="str">
        <f t="shared" si="75"/>
        <v>WT</v>
      </c>
      <c r="R354" s="32"/>
      <c r="S354" t="str">
        <f t="shared" si="76"/>
        <v>WT</v>
      </c>
    </row>
    <row r="355" spans="1:19" x14ac:dyDescent="0.2">
      <c r="A355" t="s">
        <v>791</v>
      </c>
      <c r="B355" s="29">
        <f t="shared" si="65"/>
        <v>45904.369001066341</v>
      </c>
      <c r="C355" s="29">
        <f t="shared" si="66"/>
        <v>45904.702334399677</v>
      </c>
      <c r="D355">
        <v>-31.982313482999999</v>
      </c>
      <c r="E355">
        <v>115.819490237</v>
      </c>
      <c r="F355">
        <v>1.2430000000000001</v>
      </c>
      <c r="G355">
        <v>0</v>
      </c>
      <c r="H355" s="30">
        <f t="shared" si="67"/>
        <v>5.1915039774030447</v>
      </c>
      <c r="I355" s="31">
        <f t="shared" si="68"/>
        <v>349.56559935080367</v>
      </c>
      <c r="J355" t="b">
        <f t="shared" si="69"/>
        <v>1</v>
      </c>
      <c r="K355" t="b">
        <f t="shared" si="70"/>
        <v>0</v>
      </c>
      <c r="L355" t="b">
        <f t="shared" si="71"/>
        <v>0</v>
      </c>
      <c r="M355" t="b">
        <f t="shared" si="72"/>
        <v>1</v>
      </c>
      <c r="N355" t="b">
        <f t="shared" si="73"/>
        <v>0</v>
      </c>
      <c r="O355">
        <f t="shared" si="77"/>
        <v>9</v>
      </c>
      <c r="P355" s="31">
        <f t="shared" si="74"/>
        <v>483.00455992575735</v>
      </c>
      <c r="Q355" t="str">
        <f t="shared" si="75"/>
        <v>WT</v>
      </c>
      <c r="R355" s="32"/>
      <c r="S355" t="str">
        <f t="shared" si="76"/>
        <v>WT</v>
      </c>
    </row>
    <row r="356" spans="1:19" x14ac:dyDescent="0.2">
      <c r="A356" t="s">
        <v>792</v>
      </c>
      <c r="B356" s="29">
        <f t="shared" si="65"/>
        <v>45904.369061153193</v>
      </c>
      <c r="C356" s="29">
        <f t="shared" si="66"/>
        <v>45904.702394486529</v>
      </c>
      <c r="D356">
        <v>-31.982272855000001</v>
      </c>
      <c r="E356">
        <v>115.81943761700001</v>
      </c>
      <c r="F356">
        <v>1.2929999999999999</v>
      </c>
      <c r="G356">
        <v>0</v>
      </c>
      <c r="H356" s="30">
        <f t="shared" si="67"/>
        <v>5.2021280396729708</v>
      </c>
      <c r="I356" s="31">
        <f t="shared" si="68"/>
        <v>343.44942212098556</v>
      </c>
      <c r="J356" t="b">
        <f t="shared" si="69"/>
        <v>1</v>
      </c>
      <c r="K356" t="b">
        <f t="shared" si="70"/>
        <v>0</v>
      </c>
      <c r="L356" t="b">
        <f t="shared" si="71"/>
        <v>0</v>
      </c>
      <c r="M356" t="b">
        <f t="shared" si="72"/>
        <v>1</v>
      </c>
      <c r="N356" t="b">
        <f t="shared" si="73"/>
        <v>0</v>
      </c>
      <c r="O356">
        <f t="shared" si="77"/>
        <v>9</v>
      </c>
      <c r="P356" s="31">
        <f t="shared" si="74"/>
        <v>483.00455992575735</v>
      </c>
      <c r="Q356" t="str">
        <f t="shared" si="75"/>
        <v>WT</v>
      </c>
      <c r="R356" s="32"/>
      <c r="S356" t="str">
        <f t="shared" si="76"/>
        <v>WT</v>
      </c>
    </row>
    <row r="357" spans="1:19" x14ac:dyDescent="0.2">
      <c r="A357" t="s">
        <v>793</v>
      </c>
      <c r="B357" s="29">
        <f t="shared" si="65"/>
        <v>45904.369121363008</v>
      </c>
      <c r="C357" s="29">
        <f t="shared" si="66"/>
        <v>45904.702454696344</v>
      </c>
      <c r="D357">
        <v>-31.982240614999998</v>
      </c>
      <c r="E357">
        <v>115.81937425700001</v>
      </c>
      <c r="F357">
        <v>1.34</v>
      </c>
      <c r="G357">
        <v>0</v>
      </c>
      <c r="H357" s="30">
        <f t="shared" si="67"/>
        <v>5.2201197948306799</v>
      </c>
      <c r="I357" s="31">
        <f t="shared" si="68"/>
        <v>336.66818790399589</v>
      </c>
      <c r="J357" t="b">
        <f t="shared" si="69"/>
        <v>1</v>
      </c>
      <c r="K357" t="b">
        <f t="shared" si="70"/>
        <v>0</v>
      </c>
      <c r="L357" t="b">
        <f t="shared" si="71"/>
        <v>0</v>
      </c>
      <c r="M357" t="b">
        <f t="shared" si="72"/>
        <v>1</v>
      </c>
      <c r="N357" t="b">
        <f t="shared" si="73"/>
        <v>0</v>
      </c>
      <c r="O357">
        <f t="shared" si="77"/>
        <v>9</v>
      </c>
      <c r="P357" s="31">
        <f t="shared" si="74"/>
        <v>483.00455992575735</v>
      </c>
      <c r="Q357" t="str">
        <f t="shared" si="75"/>
        <v>WT</v>
      </c>
      <c r="R357" s="32"/>
      <c r="S357" t="str">
        <f t="shared" si="76"/>
        <v>WT</v>
      </c>
    </row>
    <row r="358" spans="1:19" x14ac:dyDescent="0.2">
      <c r="A358" t="s">
        <v>794</v>
      </c>
      <c r="B358" s="29">
        <f t="shared" si="65"/>
        <v>45904.369181781061</v>
      </c>
      <c r="C358" s="29">
        <f t="shared" si="66"/>
        <v>45904.702515114397</v>
      </c>
      <c r="D358">
        <v>-31.982231965</v>
      </c>
      <c r="E358">
        <v>115.81930626099999</v>
      </c>
      <c r="F358">
        <v>1.242</v>
      </c>
      <c r="G358">
        <v>0</v>
      </c>
      <c r="H358" s="30">
        <f t="shared" si="67"/>
        <v>5.1908910507336259</v>
      </c>
      <c r="I358" s="31">
        <f t="shared" si="68"/>
        <v>330.26419560664152</v>
      </c>
      <c r="J358" t="b">
        <f t="shared" si="69"/>
        <v>1</v>
      </c>
      <c r="K358" t="b">
        <f t="shared" si="70"/>
        <v>0</v>
      </c>
      <c r="L358" t="b">
        <f t="shared" si="71"/>
        <v>0</v>
      </c>
      <c r="M358" t="b">
        <f t="shared" si="72"/>
        <v>1</v>
      </c>
      <c r="N358" t="b">
        <f t="shared" si="73"/>
        <v>0</v>
      </c>
      <c r="O358">
        <f t="shared" si="77"/>
        <v>9</v>
      </c>
      <c r="P358" s="31">
        <f t="shared" si="74"/>
        <v>483.00455992575735</v>
      </c>
      <c r="Q358" t="str">
        <f t="shared" si="75"/>
        <v>WT</v>
      </c>
      <c r="R358" s="32"/>
      <c r="S358" t="str">
        <f t="shared" si="76"/>
        <v>WT</v>
      </c>
    </row>
    <row r="359" spans="1:19" x14ac:dyDescent="0.2">
      <c r="A359" t="s">
        <v>795</v>
      </c>
      <c r="B359" s="29">
        <f t="shared" si="65"/>
        <v>45904.369241860819</v>
      </c>
      <c r="C359" s="29">
        <f t="shared" si="66"/>
        <v>45904.702575194155</v>
      </c>
      <c r="D359">
        <v>-31.9822293</v>
      </c>
      <c r="E359">
        <v>115.819238797</v>
      </c>
      <c r="F359">
        <v>1.2270000000000001</v>
      </c>
      <c r="G359">
        <v>0</v>
      </c>
      <c r="H359" s="30">
        <f t="shared" si="67"/>
        <v>5.1921703387051821</v>
      </c>
      <c r="I359" s="31">
        <f t="shared" si="68"/>
        <v>324.11587732296732</v>
      </c>
      <c r="J359" t="b">
        <f t="shared" si="69"/>
        <v>1</v>
      </c>
      <c r="K359" t="b">
        <f t="shared" si="70"/>
        <v>0</v>
      </c>
      <c r="L359" t="b">
        <f t="shared" si="71"/>
        <v>0</v>
      </c>
      <c r="M359" t="b">
        <f t="shared" si="72"/>
        <v>1</v>
      </c>
      <c r="N359" t="b">
        <f t="shared" si="73"/>
        <v>0</v>
      </c>
      <c r="O359">
        <f t="shared" si="77"/>
        <v>9</v>
      </c>
      <c r="P359" s="31">
        <f t="shared" si="74"/>
        <v>483.00455992575735</v>
      </c>
      <c r="Q359" t="str">
        <f t="shared" si="75"/>
        <v>WT</v>
      </c>
      <c r="R359" s="32"/>
      <c r="S359" t="str">
        <f t="shared" si="76"/>
        <v>WT</v>
      </c>
    </row>
    <row r="360" spans="1:19" x14ac:dyDescent="0.2">
      <c r="A360" t="s">
        <v>796</v>
      </c>
      <c r="B360" s="29">
        <f t="shared" si="65"/>
        <v>45904.369301955383</v>
      </c>
      <c r="C360" s="29">
        <f t="shared" si="66"/>
        <v>45904.702635288719</v>
      </c>
      <c r="D360">
        <v>-31.982226084000001</v>
      </c>
      <c r="E360">
        <v>115.819167951</v>
      </c>
      <c r="F360">
        <v>1.2889999999999999</v>
      </c>
      <c r="G360">
        <v>0</v>
      </c>
      <c r="H360" s="30">
        <f t="shared" si="67"/>
        <v>5.2009593928232789</v>
      </c>
      <c r="I360" s="31">
        <f t="shared" si="68"/>
        <v>317.65418028348029</v>
      </c>
      <c r="J360" t="b">
        <f t="shared" si="69"/>
        <v>1</v>
      </c>
      <c r="K360" t="b">
        <f t="shared" si="70"/>
        <v>0</v>
      </c>
      <c r="L360" t="b">
        <f t="shared" si="71"/>
        <v>0</v>
      </c>
      <c r="M360" t="b">
        <f t="shared" si="72"/>
        <v>1</v>
      </c>
      <c r="N360" t="b">
        <f t="shared" si="73"/>
        <v>0</v>
      </c>
      <c r="O360">
        <f t="shared" si="77"/>
        <v>9</v>
      </c>
      <c r="P360" s="31">
        <f t="shared" si="74"/>
        <v>483.00455992575735</v>
      </c>
      <c r="Q360" t="str">
        <f t="shared" si="75"/>
        <v>WT</v>
      </c>
      <c r="R360" s="32"/>
      <c r="S360" t="str">
        <f t="shared" si="76"/>
        <v>WT</v>
      </c>
    </row>
    <row r="361" spans="1:19" x14ac:dyDescent="0.2">
      <c r="A361" t="s">
        <v>797</v>
      </c>
      <c r="B361" s="29">
        <f t="shared" si="65"/>
        <v>45904.369362151672</v>
      </c>
      <c r="C361" s="29">
        <f t="shared" si="66"/>
        <v>45904.702695485008</v>
      </c>
      <c r="D361">
        <v>-31.982224145</v>
      </c>
      <c r="E361">
        <v>115.81909305800001</v>
      </c>
      <c r="F361">
        <v>1.359</v>
      </c>
      <c r="G361">
        <v>0</v>
      </c>
      <c r="H361" s="30">
        <f t="shared" si="67"/>
        <v>5.1996876485645771</v>
      </c>
      <c r="I361" s="31">
        <f t="shared" si="68"/>
        <v>310.88584668244351</v>
      </c>
      <c r="J361" t="b">
        <f t="shared" si="69"/>
        <v>1</v>
      </c>
      <c r="K361" t="b">
        <f t="shared" si="70"/>
        <v>0</v>
      </c>
      <c r="L361" t="b">
        <f t="shared" si="71"/>
        <v>0</v>
      </c>
      <c r="M361" t="b">
        <f t="shared" si="72"/>
        <v>1</v>
      </c>
      <c r="N361" t="b">
        <f t="shared" si="73"/>
        <v>0</v>
      </c>
      <c r="O361">
        <f t="shared" si="77"/>
        <v>9</v>
      </c>
      <c r="P361" s="31">
        <f t="shared" si="74"/>
        <v>483.00455992575735</v>
      </c>
      <c r="Q361" t="str">
        <f t="shared" si="75"/>
        <v>WT</v>
      </c>
      <c r="R361" s="32"/>
      <c r="S361" t="str">
        <f t="shared" si="76"/>
        <v>WT</v>
      </c>
    </row>
    <row r="362" spans="1:19" x14ac:dyDescent="0.2">
      <c r="A362" t="s">
        <v>798</v>
      </c>
      <c r="B362" s="29">
        <f t="shared" si="65"/>
        <v>45904.369422333242</v>
      </c>
      <c r="C362" s="29">
        <f t="shared" si="66"/>
        <v>45904.702755666578</v>
      </c>
      <c r="D362">
        <v>-31.982224451</v>
      </c>
      <c r="E362">
        <v>115.819018059</v>
      </c>
      <c r="F362">
        <v>1.36</v>
      </c>
      <c r="G362">
        <v>0</v>
      </c>
      <c r="H362" s="30">
        <f t="shared" si="67"/>
        <v>5.2229203982278705</v>
      </c>
      <c r="I362" s="31">
        <f t="shared" si="68"/>
        <v>304.20317103954176</v>
      </c>
      <c r="J362" t="b">
        <f t="shared" si="69"/>
        <v>1</v>
      </c>
      <c r="K362" t="b">
        <f t="shared" si="70"/>
        <v>0</v>
      </c>
      <c r="L362" t="b">
        <f t="shared" si="71"/>
        <v>0</v>
      </c>
      <c r="M362" t="b">
        <f t="shared" si="72"/>
        <v>1</v>
      </c>
      <c r="N362" t="b">
        <f t="shared" si="73"/>
        <v>0</v>
      </c>
      <c r="O362">
        <f t="shared" si="77"/>
        <v>9</v>
      </c>
      <c r="P362" s="31">
        <f t="shared" si="74"/>
        <v>483.00455992575735</v>
      </c>
      <c r="Q362" t="str">
        <f t="shared" si="75"/>
        <v>WT</v>
      </c>
      <c r="R362" s="32"/>
      <c r="S362" t="str">
        <f t="shared" si="76"/>
        <v>WT</v>
      </c>
    </row>
    <row r="363" spans="1:19" x14ac:dyDescent="0.2">
      <c r="A363" t="s">
        <v>799</v>
      </c>
      <c r="B363" s="29">
        <f t="shared" si="65"/>
        <v>45904.36948278371</v>
      </c>
      <c r="C363" s="29">
        <f t="shared" si="66"/>
        <v>45904.702816117046</v>
      </c>
      <c r="D363">
        <v>-31.982225497000002</v>
      </c>
      <c r="E363">
        <v>115.81894561199999</v>
      </c>
      <c r="F363">
        <v>1.3080000000000001</v>
      </c>
      <c r="G363">
        <v>0</v>
      </c>
      <c r="H363" s="30">
        <f t="shared" si="67"/>
        <v>5.1811420591548085</v>
      </c>
      <c r="I363" s="31">
        <f t="shared" si="68"/>
        <v>297.79293503513691</v>
      </c>
      <c r="J363" t="b">
        <f t="shared" si="69"/>
        <v>1</v>
      </c>
      <c r="K363" t="b">
        <f t="shared" si="70"/>
        <v>0</v>
      </c>
      <c r="L363" t="b">
        <f t="shared" si="71"/>
        <v>0</v>
      </c>
      <c r="M363" t="b">
        <f t="shared" si="72"/>
        <v>1</v>
      </c>
      <c r="N363" t="b">
        <f t="shared" si="73"/>
        <v>0</v>
      </c>
      <c r="O363">
        <f t="shared" si="77"/>
        <v>9</v>
      </c>
      <c r="P363" s="31">
        <f t="shared" si="74"/>
        <v>483.00455992575735</v>
      </c>
      <c r="Q363" t="str">
        <f t="shared" si="75"/>
        <v>WT</v>
      </c>
      <c r="R363" s="32"/>
      <c r="S363" t="str">
        <f t="shared" si="76"/>
        <v>WT</v>
      </c>
    </row>
    <row r="364" spans="1:19" x14ac:dyDescent="0.2">
      <c r="A364" t="s">
        <v>800</v>
      </c>
      <c r="B364" s="29">
        <f t="shared" si="65"/>
        <v>45904.369542750632</v>
      </c>
      <c r="C364" s="29">
        <f t="shared" si="66"/>
        <v>45904.702876083968</v>
      </c>
      <c r="D364">
        <v>-31.982224155000001</v>
      </c>
      <c r="E364">
        <v>115.81887813199999</v>
      </c>
      <c r="F364">
        <v>1.2290000000000001</v>
      </c>
      <c r="G364">
        <v>0</v>
      </c>
      <c r="H364" s="30">
        <f t="shared" si="67"/>
        <v>5.007028765976429</v>
      </c>
      <c r="I364" s="31">
        <f t="shared" si="68"/>
        <v>291.75161682284983</v>
      </c>
      <c r="J364" t="b">
        <f t="shared" si="69"/>
        <v>1</v>
      </c>
      <c r="K364" t="b">
        <f t="shared" si="70"/>
        <v>0</v>
      </c>
      <c r="L364" t="b">
        <f t="shared" si="71"/>
        <v>0</v>
      </c>
      <c r="M364" t="b">
        <f t="shared" si="72"/>
        <v>1</v>
      </c>
      <c r="N364" t="b">
        <f t="shared" si="73"/>
        <v>0</v>
      </c>
      <c r="O364">
        <f t="shared" si="77"/>
        <v>9</v>
      </c>
      <c r="P364" s="31">
        <f t="shared" si="74"/>
        <v>483.00455992575735</v>
      </c>
      <c r="Q364" t="str">
        <f t="shared" si="75"/>
        <v>WT</v>
      </c>
      <c r="R364" s="32"/>
      <c r="S364" t="str">
        <f t="shared" si="76"/>
        <v>WT</v>
      </c>
    </row>
    <row r="365" spans="1:19" x14ac:dyDescent="0.2">
      <c r="A365" t="s">
        <v>801</v>
      </c>
      <c r="B365" s="29">
        <f t="shared" si="65"/>
        <v>45904.369600702354</v>
      </c>
      <c r="C365" s="29">
        <f t="shared" si="66"/>
        <v>45904.702934035689</v>
      </c>
      <c r="D365">
        <v>-31.982211770999999</v>
      </c>
      <c r="E365">
        <v>115.818827902</v>
      </c>
      <c r="F365">
        <v>0.98499999999999999</v>
      </c>
      <c r="G365">
        <v>0</v>
      </c>
      <c r="H365" s="30">
        <f t="shared" si="67"/>
        <v>5.1926977699622512</v>
      </c>
      <c r="I365" s="31">
        <f t="shared" si="68"/>
        <v>286.82856191422616</v>
      </c>
      <c r="J365" t="b">
        <f t="shared" si="69"/>
        <v>1</v>
      </c>
      <c r="K365" t="b">
        <f t="shared" si="70"/>
        <v>0</v>
      </c>
      <c r="L365" t="b">
        <f t="shared" si="71"/>
        <v>0</v>
      </c>
      <c r="M365" t="b">
        <f t="shared" si="72"/>
        <v>1</v>
      </c>
      <c r="N365" t="b">
        <f t="shared" si="73"/>
        <v>0</v>
      </c>
      <c r="O365">
        <f t="shared" si="77"/>
        <v>9</v>
      </c>
      <c r="P365" s="31">
        <f t="shared" si="74"/>
        <v>483.00455992575735</v>
      </c>
      <c r="Q365" t="str">
        <f t="shared" si="75"/>
        <v>WT</v>
      </c>
      <c r="R365" s="32"/>
      <c r="S365" t="str">
        <f t="shared" si="76"/>
        <v>WT</v>
      </c>
    </row>
    <row r="366" spans="1:19" x14ac:dyDescent="0.2">
      <c r="A366" t="s">
        <v>802</v>
      </c>
      <c r="B366" s="29">
        <f t="shared" si="65"/>
        <v>45904.369660803022</v>
      </c>
      <c r="C366" s="29">
        <f t="shared" si="66"/>
        <v>45904.702994136358</v>
      </c>
      <c r="D366">
        <v>-31.982183880000001</v>
      </c>
      <c r="E366">
        <v>115.818792915</v>
      </c>
      <c r="F366">
        <v>0.872</v>
      </c>
      <c r="G366">
        <v>0</v>
      </c>
      <c r="H366" s="30">
        <f t="shared" si="67"/>
        <v>5.1890667295083404</v>
      </c>
      <c r="I366" s="31">
        <f t="shared" si="68"/>
        <v>282.67299933368093</v>
      </c>
      <c r="J366" t="b">
        <f t="shared" si="69"/>
        <v>1</v>
      </c>
      <c r="K366" t="b">
        <f t="shared" si="70"/>
        <v>0</v>
      </c>
      <c r="L366" t="b">
        <f t="shared" si="71"/>
        <v>0</v>
      </c>
      <c r="M366" t="b">
        <f t="shared" si="72"/>
        <v>1</v>
      </c>
      <c r="N366" t="b">
        <f t="shared" si="73"/>
        <v>0</v>
      </c>
      <c r="O366">
        <f t="shared" si="77"/>
        <v>9</v>
      </c>
      <c r="P366" s="31">
        <f t="shared" si="74"/>
        <v>483.00455992575735</v>
      </c>
      <c r="Q366" t="str">
        <f t="shared" si="75"/>
        <v>WT</v>
      </c>
      <c r="R366" s="32"/>
      <c r="S366" t="str">
        <f t="shared" si="76"/>
        <v>WT</v>
      </c>
    </row>
    <row r="367" spans="1:19" x14ac:dyDescent="0.2">
      <c r="A367" t="s">
        <v>803</v>
      </c>
      <c r="B367" s="29">
        <f t="shared" si="65"/>
        <v>45904.369720861665</v>
      </c>
      <c r="C367" s="29">
        <f t="shared" si="66"/>
        <v>45904.703054195001</v>
      </c>
      <c r="D367">
        <v>-31.982127533</v>
      </c>
      <c r="E367">
        <v>115.818772837</v>
      </c>
      <c r="F367">
        <v>1.2609999999999999</v>
      </c>
      <c r="G367">
        <v>0</v>
      </c>
      <c r="H367" s="30">
        <f t="shared" si="67"/>
        <v>5.1905471831560135</v>
      </c>
      <c r="I367" s="31">
        <f t="shared" si="68"/>
        <v>278.8345920393208</v>
      </c>
      <c r="J367" t="b">
        <f t="shared" si="69"/>
        <v>1</v>
      </c>
      <c r="K367" t="b">
        <f t="shared" si="70"/>
        <v>0</v>
      </c>
      <c r="L367" t="b">
        <f t="shared" si="71"/>
        <v>0</v>
      </c>
      <c r="M367" t="b">
        <f t="shared" si="72"/>
        <v>1</v>
      </c>
      <c r="N367" t="b">
        <f t="shared" si="73"/>
        <v>0</v>
      </c>
      <c r="O367">
        <f t="shared" si="77"/>
        <v>9</v>
      </c>
      <c r="P367" s="31">
        <f t="shared" si="74"/>
        <v>483.00455992575735</v>
      </c>
      <c r="Q367" t="str">
        <f t="shared" si="75"/>
        <v>WT</v>
      </c>
      <c r="R367" s="32"/>
      <c r="S367" t="str">
        <f t="shared" si="76"/>
        <v>WT</v>
      </c>
    </row>
    <row r="368" spans="1:19" x14ac:dyDescent="0.2">
      <c r="A368" t="s">
        <v>804</v>
      </c>
      <c r="B368" s="29">
        <f t="shared" si="65"/>
        <v>45904.369780937443</v>
      </c>
      <c r="C368" s="29">
        <f t="shared" si="66"/>
        <v>45904.703114270778</v>
      </c>
      <c r="D368">
        <v>-31.982068328</v>
      </c>
      <c r="E368">
        <v>115.818771282</v>
      </c>
      <c r="F368">
        <v>1.2689999999999999</v>
      </c>
      <c r="G368">
        <v>0</v>
      </c>
      <c r="H368" s="30">
        <f t="shared" si="67"/>
        <v>5.0091340905055404</v>
      </c>
      <c r="I368" s="31">
        <f t="shared" si="68"/>
        <v>276.67120999841194</v>
      </c>
      <c r="J368" t="b">
        <f t="shared" si="69"/>
        <v>1</v>
      </c>
      <c r="K368" t="b">
        <f t="shared" si="70"/>
        <v>0</v>
      </c>
      <c r="L368" t="b">
        <f t="shared" si="71"/>
        <v>0</v>
      </c>
      <c r="M368" t="b">
        <f t="shared" si="72"/>
        <v>1</v>
      </c>
      <c r="N368" t="b">
        <f t="shared" si="73"/>
        <v>0</v>
      </c>
      <c r="O368">
        <f t="shared" si="77"/>
        <v>9</v>
      </c>
      <c r="P368" s="31">
        <f t="shared" si="74"/>
        <v>483.00455992575735</v>
      </c>
      <c r="Q368" t="str">
        <f t="shared" si="75"/>
        <v>WT</v>
      </c>
      <c r="R368" s="32"/>
      <c r="S368" t="str">
        <f t="shared" si="76"/>
        <v>WT</v>
      </c>
    </row>
    <row r="369" spans="1:19" x14ac:dyDescent="0.2">
      <c r="A369" t="s">
        <v>805</v>
      </c>
      <c r="B369" s="29">
        <f t="shared" si="65"/>
        <v>45904.369838913532</v>
      </c>
      <c r="C369" s="29">
        <f t="shared" si="66"/>
        <v>45904.703172246867</v>
      </c>
      <c r="D369">
        <v>-31.98200997</v>
      </c>
      <c r="E369">
        <v>115.81875402</v>
      </c>
      <c r="F369">
        <v>1.3360000000000001</v>
      </c>
      <c r="G369">
        <v>0</v>
      </c>
      <c r="H369" s="30">
        <f t="shared" si="67"/>
        <v>5.0056388368830085</v>
      </c>
      <c r="I369" s="31">
        <f t="shared" si="68"/>
        <v>273.2507029489887</v>
      </c>
      <c r="J369" t="b">
        <f t="shared" si="69"/>
        <v>1</v>
      </c>
      <c r="K369" t="b">
        <f t="shared" si="70"/>
        <v>0</v>
      </c>
      <c r="L369" t="b">
        <f t="shared" si="71"/>
        <v>0</v>
      </c>
      <c r="M369" t="b">
        <f t="shared" si="72"/>
        <v>1</v>
      </c>
      <c r="N369" t="b">
        <f t="shared" si="73"/>
        <v>0</v>
      </c>
      <c r="O369">
        <f t="shared" si="77"/>
        <v>9</v>
      </c>
      <c r="P369" s="31">
        <f t="shared" si="74"/>
        <v>483.00455992575735</v>
      </c>
      <c r="Q369" t="str">
        <f t="shared" si="75"/>
        <v>WT</v>
      </c>
      <c r="R369" s="32"/>
      <c r="S369" t="str">
        <f t="shared" si="76"/>
        <v>WT</v>
      </c>
    </row>
    <row r="370" spans="1:19" x14ac:dyDescent="0.2">
      <c r="A370" t="s">
        <v>806</v>
      </c>
      <c r="B370" s="29">
        <f t="shared" si="65"/>
        <v>45904.369896849166</v>
      </c>
      <c r="C370" s="29">
        <f t="shared" si="66"/>
        <v>45904.703230182502</v>
      </c>
      <c r="D370">
        <v>-31.981958807000002</v>
      </c>
      <c r="E370">
        <v>115.81875755999999</v>
      </c>
      <c r="F370">
        <v>1.1379999999999999</v>
      </c>
      <c r="G370">
        <v>0</v>
      </c>
      <c r="H370" s="30">
        <f t="shared" si="67"/>
        <v>5.2127439295873046</v>
      </c>
      <c r="I370" s="31">
        <f t="shared" si="68"/>
        <v>272.05424864004391</v>
      </c>
      <c r="J370" t="b">
        <f t="shared" si="69"/>
        <v>1</v>
      </c>
      <c r="K370" t="b">
        <f t="shared" si="70"/>
        <v>0</v>
      </c>
      <c r="L370" t="b">
        <f t="shared" si="71"/>
        <v>0</v>
      </c>
      <c r="M370" t="b">
        <f t="shared" si="72"/>
        <v>1</v>
      </c>
      <c r="N370" t="b">
        <f t="shared" si="73"/>
        <v>0</v>
      </c>
      <c r="O370">
        <f t="shared" si="77"/>
        <v>9</v>
      </c>
      <c r="P370" s="31">
        <f t="shared" si="74"/>
        <v>483.00455992575735</v>
      </c>
      <c r="Q370" t="str">
        <f t="shared" si="75"/>
        <v>WT</v>
      </c>
      <c r="R370" s="32"/>
      <c r="S370" t="str">
        <f t="shared" si="76"/>
        <v>WT</v>
      </c>
    </row>
    <row r="371" spans="1:19" x14ac:dyDescent="0.2">
      <c r="A371" t="s">
        <v>807</v>
      </c>
      <c r="B371" s="29">
        <f t="shared" si="65"/>
        <v>45904.369957181851</v>
      </c>
      <c r="C371" s="29">
        <f t="shared" si="66"/>
        <v>45904.703290515186</v>
      </c>
      <c r="D371">
        <v>-31.981899284000001</v>
      </c>
      <c r="E371">
        <v>115.81874403899999</v>
      </c>
      <c r="F371">
        <v>1.2929999999999999</v>
      </c>
      <c r="G371">
        <v>0</v>
      </c>
      <c r="H371" s="30">
        <f t="shared" si="67"/>
        <v>5.192091129720211</v>
      </c>
      <c r="I371" s="31">
        <f t="shared" si="68"/>
        <v>269.18926637328315</v>
      </c>
      <c r="J371" t="b">
        <f t="shared" si="69"/>
        <v>1</v>
      </c>
      <c r="K371" t="b">
        <f t="shared" si="70"/>
        <v>0</v>
      </c>
      <c r="L371" t="b">
        <f t="shared" si="71"/>
        <v>0</v>
      </c>
      <c r="M371" t="b">
        <f t="shared" si="72"/>
        <v>1</v>
      </c>
      <c r="N371" t="b">
        <f t="shared" si="73"/>
        <v>0</v>
      </c>
      <c r="O371">
        <f t="shared" si="77"/>
        <v>9</v>
      </c>
      <c r="P371" s="31">
        <f t="shared" si="74"/>
        <v>483.00455992575735</v>
      </c>
      <c r="Q371" t="str">
        <f t="shared" si="75"/>
        <v>WT</v>
      </c>
      <c r="R371" s="32"/>
      <c r="S371" t="str">
        <f t="shared" si="76"/>
        <v>WT</v>
      </c>
    </row>
    <row r="372" spans="1:19" x14ac:dyDescent="0.2">
      <c r="A372" t="s">
        <v>808</v>
      </c>
      <c r="B372" s="29">
        <f t="shared" si="65"/>
        <v>45904.370017275498</v>
      </c>
      <c r="C372" s="29">
        <f t="shared" si="66"/>
        <v>45904.703350608834</v>
      </c>
      <c r="D372">
        <v>-31.981839855</v>
      </c>
      <c r="E372">
        <v>115.818745264</v>
      </c>
      <c r="F372">
        <v>1.2729999999999999</v>
      </c>
      <c r="G372">
        <v>0</v>
      </c>
      <c r="H372" s="30">
        <f t="shared" si="67"/>
        <v>5.1915555261075497</v>
      </c>
      <c r="I372" s="31">
        <f t="shared" si="68"/>
        <v>267.82536907157976</v>
      </c>
      <c r="J372" t="b">
        <f t="shared" si="69"/>
        <v>1</v>
      </c>
      <c r="K372" t="b">
        <f t="shared" si="70"/>
        <v>0</v>
      </c>
      <c r="L372" t="b">
        <f t="shared" si="71"/>
        <v>0</v>
      </c>
      <c r="M372" t="b">
        <f t="shared" si="72"/>
        <v>1</v>
      </c>
      <c r="N372" t="b">
        <f t="shared" si="73"/>
        <v>0</v>
      </c>
      <c r="O372">
        <f t="shared" si="77"/>
        <v>9</v>
      </c>
      <c r="P372" s="31">
        <f t="shared" si="74"/>
        <v>483.00455992575735</v>
      </c>
      <c r="Q372" t="str">
        <f t="shared" si="75"/>
        <v>WT</v>
      </c>
      <c r="R372" s="32"/>
      <c r="S372" t="str">
        <f t="shared" si="76"/>
        <v>WT</v>
      </c>
    </row>
    <row r="373" spans="1:19" x14ac:dyDescent="0.2">
      <c r="A373" t="s">
        <v>809</v>
      </c>
      <c r="B373" s="29">
        <f t="shared" si="65"/>
        <v>45904.370077362946</v>
      </c>
      <c r="C373" s="29">
        <f t="shared" si="66"/>
        <v>45904.703410696282</v>
      </c>
      <c r="D373">
        <v>-31.981779417999999</v>
      </c>
      <c r="E373">
        <v>115.81874614199999</v>
      </c>
      <c r="F373">
        <v>1.2949999999999999</v>
      </c>
      <c r="G373">
        <v>0</v>
      </c>
      <c r="H373" s="30">
        <f t="shared" si="67"/>
        <v>5.0061637535691261</v>
      </c>
      <c r="I373" s="31">
        <f t="shared" si="68"/>
        <v>266.56519776087544</v>
      </c>
      <c r="J373" t="b">
        <f t="shared" si="69"/>
        <v>1</v>
      </c>
      <c r="K373" t="b">
        <f t="shared" si="70"/>
        <v>0</v>
      </c>
      <c r="L373" t="b">
        <f t="shared" si="71"/>
        <v>0</v>
      </c>
      <c r="M373" t="b">
        <f t="shared" si="72"/>
        <v>1</v>
      </c>
      <c r="N373" t="b">
        <f t="shared" si="73"/>
        <v>0</v>
      </c>
      <c r="O373">
        <f t="shared" si="77"/>
        <v>9</v>
      </c>
      <c r="P373" s="31">
        <f t="shared" si="74"/>
        <v>483.00455992575735</v>
      </c>
      <c r="Q373" t="str">
        <f t="shared" si="75"/>
        <v>WT</v>
      </c>
      <c r="R373" s="32"/>
      <c r="S373" t="str">
        <f t="shared" si="76"/>
        <v>WT</v>
      </c>
    </row>
    <row r="374" spans="1:19" x14ac:dyDescent="0.2">
      <c r="A374" t="s">
        <v>810</v>
      </c>
      <c r="B374" s="29">
        <f t="shared" si="65"/>
        <v>45904.370135304656</v>
      </c>
      <c r="C374" s="29">
        <f t="shared" si="66"/>
        <v>45904.703468637992</v>
      </c>
      <c r="D374">
        <v>-31.981727367000001</v>
      </c>
      <c r="E374">
        <v>115.818739378</v>
      </c>
      <c r="F374">
        <v>1.163</v>
      </c>
      <c r="G374">
        <v>0</v>
      </c>
      <c r="H374" s="30">
        <f t="shared" si="67"/>
        <v>5.0068307435140014</v>
      </c>
      <c r="I374" s="31">
        <f t="shared" si="68"/>
        <v>264.91204748389936</v>
      </c>
      <c r="J374" t="b">
        <f t="shared" si="69"/>
        <v>1</v>
      </c>
      <c r="K374" t="b">
        <f t="shared" si="70"/>
        <v>0</v>
      </c>
      <c r="L374" t="b">
        <f t="shared" si="71"/>
        <v>0</v>
      </c>
      <c r="M374" t="b">
        <f t="shared" si="72"/>
        <v>1</v>
      </c>
      <c r="N374" t="b">
        <f t="shared" si="73"/>
        <v>0</v>
      </c>
      <c r="O374">
        <f t="shared" si="77"/>
        <v>9</v>
      </c>
      <c r="P374" s="31">
        <f t="shared" si="74"/>
        <v>483.00455992575735</v>
      </c>
      <c r="Q374" t="str">
        <f t="shared" si="75"/>
        <v>WT</v>
      </c>
      <c r="R374" s="32"/>
      <c r="S374" t="str">
        <f t="shared" si="76"/>
        <v>WT</v>
      </c>
    </row>
    <row r="375" spans="1:19" x14ac:dyDescent="0.2">
      <c r="A375" t="s">
        <v>811</v>
      </c>
      <c r="B375" s="29">
        <f t="shared" si="65"/>
        <v>45904.370193254086</v>
      </c>
      <c r="C375" s="29">
        <f t="shared" si="66"/>
        <v>45904.703526587422</v>
      </c>
      <c r="D375">
        <v>-31.981730550999998</v>
      </c>
      <c r="E375">
        <v>115.81873715</v>
      </c>
      <c r="F375">
        <v>8.2000000000000003E-2</v>
      </c>
      <c r="G375">
        <v>0</v>
      </c>
      <c r="H375" s="30">
        <f t="shared" si="67"/>
        <v>5.1922772079706192</v>
      </c>
      <c r="I375" s="31">
        <f t="shared" si="68"/>
        <v>264.76417739274353</v>
      </c>
      <c r="J375" t="b">
        <f t="shared" si="69"/>
        <v>1</v>
      </c>
      <c r="K375" t="b">
        <f t="shared" si="70"/>
        <v>1</v>
      </c>
      <c r="L375" t="b">
        <f t="shared" si="71"/>
        <v>0</v>
      </c>
      <c r="M375" t="b">
        <f t="shared" si="72"/>
        <v>1</v>
      </c>
      <c r="N375" t="b">
        <f t="shared" si="73"/>
        <v>0</v>
      </c>
      <c r="O375">
        <f t="shared" si="77"/>
        <v>10</v>
      </c>
      <c r="P375" s="31">
        <f t="shared" si="74"/>
        <v>10.38130244705826</v>
      </c>
      <c r="Q375" t="str">
        <f t="shared" si="75"/>
        <v>OD</v>
      </c>
      <c r="R375" s="32"/>
      <c r="S375" t="str">
        <f t="shared" si="76"/>
        <v>OD</v>
      </c>
    </row>
    <row r="376" spans="1:19" x14ac:dyDescent="0.2">
      <c r="A376" t="s">
        <v>812</v>
      </c>
      <c r="B376" s="29">
        <f t="shared" si="65"/>
        <v>45904.370253349887</v>
      </c>
      <c r="C376" s="29">
        <f t="shared" si="66"/>
        <v>45904.703586683223</v>
      </c>
      <c r="D376">
        <v>-31.981732576999999</v>
      </c>
      <c r="E376">
        <v>115.818738315</v>
      </c>
      <c r="F376">
        <v>4.8000000000000001E-2</v>
      </c>
      <c r="G376">
        <v>0</v>
      </c>
      <c r="H376" s="30">
        <f t="shared" si="67"/>
        <v>5.1890252390876412</v>
      </c>
      <c r="I376" s="31">
        <f t="shared" si="68"/>
        <v>264.91046421040591</v>
      </c>
      <c r="J376" t="b">
        <f t="shared" si="69"/>
        <v>1</v>
      </c>
      <c r="K376" t="b">
        <f t="shared" si="70"/>
        <v>1</v>
      </c>
      <c r="L376" t="b">
        <f t="shared" si="71"/>
        <v>0</v>
      </c>
      <c r="M376" t="b">
        <f t="shared" si="72"/>
        <v>1</v>
      </c>
      <c r="N376" t="b">
        <f t="shared" si="73"/>
        <v>0</v>
      </c>
      <c r="O376">
        <f t="shared" si="77"/>
        <v>10</v>
      </c>
      <c r="P376" s="31">
        <f t="shared" si="74"/>
        <v>10.38130244705826</v>
      </c>
      <c r="Q376" t="str">
        <f t="shared" si="75"/>
        <v>OD</v>
      </c>
      <c r="R376" s="32"/>
      <c r="S376" t="str">
        <f t="shared" si="76"/>
        <v>OD</v>
      </c>
    </row>
    <row r="377" spans="1:19" x14ac:dyDescent="0.2">
      <c r="A377" t="s">
        <v>813</v>
      </c>
      <c r="B377" s="29">
        <f t="shared" si="65"/>
        <v>45904.37031340805</v>
      </c>
      <c r="C377" s="29">
        <f t="shared" si="66"/>
        <v>45904.703646741385</v>
      </c>
      <c r="D377">
        <v>-31.981704616999998</v>
      </c>
      <c r="E377">
        <v>115.81874206400001</v>
      </c>
      <c r="F377">
        <v>0.60299999999999998</v>
      </c>
      <c r="G377">
        <v>0</v>
      </c>
      <c r="H377" s="30">
        <f t="shared" si="67"/>
        <v>5.0084199523553252</v>
      </c>
      <c r="I377" s="31">
        <f t="shared" si="68"/>
        <v>264.7520879343474</v>
      </c>
      <c r="J377" t="b">
        <f t="shared" si="69"/>
        <v>1</v>
      </c>
      <c r="K377" t="b">
        <f t="shared" si="70"/>
        <v>0</v>
      </c>
      <c r="L377" t="b">
        <f t="shared" si="71"/>
        <v>0</v>
      </c>
      <c r="M377" t="b">
        <f t="shared" si="72"/>
        <v>1</v>
      </c>
      <c r="N377" t="b">
        <f t="shared" si="73"/>
        <v>0</v>
      </c>
      <c r="O377">
        <f t="shared" si="77"/>
        <v>11</v>
      </c>
      <c r="P377" s="31">
        <f t="shared" si="74"/>
        <v>291.79395704995841</v>
      </c>
      <c r="Q377" t="str">
        <f t="shared" si="75"/>
        <v>WT</v>
      </c>
      <c r="R377" s="32"/>
      <c r="S377" t="str">
        <f t="shared" si="76"/>
        <v>WT</v>
      </c>
    </row>
    <row r="378" spans="1:19" x14ac:dyDescent="0.2">
      <c r="A378" t="s">
        <v>814</v>
      </c>
      <c r="B378" s="29">
        <f t="shared" si="65"/>
        <v>45904.370371375873</v>
      </c>
      <c r="C378" s="29">
        <f t="shared" si="66"/>
        <v>45904.703704709209</v>
      </c>
      <c r="D378">
        <v>-31.981655243999999</v>
      </c>
      <c r="E378">
        <v>115.818738487</v>
      </c>
      <c r="F378">
        <v>1.0980000000000001</v>
      </c>
      <c r="G378">
        <v>0</v>
      </c>
      <c r="H378" s="30">
        <f t="shared" si="67"/>
        <v>5.2115168189629912</v>
      </c>
      <c r="I378" s="31">
        <f t="shared" si="68"/>
        <v>263.60986922849401</v>
      </c>
      <c r="J378" t="b">
        <f t="shared" si="69"/>
        <v>1</v>
      </c>
      <c r="K378" t="b">
        <f t="shared" si="70"/>
        <v>0</v>
      </c>
      <c r="L378" t="b">
        <f t="shared" si="71"/>
        <v>0</v>
      </c>
      <c r="M378" t="b">
        <f t="shared" si="72"/>
        <v>1</v>
      </c>
      <c r="N378" t="b">
        <f t="shared" si="73"/>
        <v>0</v>
      </c>
      <c r="O378">
        <f t="shared" si="77"/>
        <v>11</v>
      </c>
      <c r="P378" s="31">
        <f t="shared" si="74"/>
        <v>291.79395704995841</v>
      </c>
      <c r="Q378" t="str">
        <f t="shared" si="75"/>
        <v>WT</v>
      </c>
      <c r="R378" s="32"/>
      <c r="S378" t="str">
        <f t="shared" si="76"/>
        <v>WT</v>
      </c>
    </row>
    <row r="379" spans="1:19" x14ac:dyDescent="0.2">
      <c r="A379" t="s">
        <v>815</v>
      </c>
      <c r="B379" s="29">
        <f t="shared" si="65"/>
        <v>45904.370431694355</v>
      </c>
      <c r="C379" s="29">
        <f t="shared" si="66"/>
        <v>45904.703765027691</v>
      </c>
      <c r="D379">
        <v>-31.981590656000002</v>
      </c>
      <c r="E379">
        <v>115.818738868</v>
      </c>
      <c r="F379">
        <v>1.3779999999999999</v>
      </c>
      <c r="G379">
        <v>0</v>
      </c>
      <c r="H379" s="30">
        <f t="shared" si="67"/>
        <v>5.0092497607693076</v>
      </c>
      <c r="I379" s="31">
        <f t="shared" si="68"/>
        <v>262.75670749362229</v>
      </c>
      <c r="J379" t="b">
        <f t="shared" si="69"/>
        <v>1</v>
      </c>
      <c r="K379" t="b">
        <f t="shared" si="70"/>
        <v>0</v>
      </c>
      <c r="L379" t="b">
        <f t="shared" si="71"/>
        <v>0</v>
      </c>
      <c r="M379" t="b">
        <f t="shared" si="72"/>
        <v>1</v>
      </c>
      <c r="N379" t="b">
        <f t="shared" si="73"/>
        <v>0</v>
      </c>
      <c r="O379">
        <f t="shared" si="77"/>
        <v>11</v>
      </c>
      <c r="P379" s="31">
        <f t="shared" si="74"/>
        <v>291.79395704995841</v>
      </c>
      <c r="Q379" t="str">
        <f t="shared" si="75"/>
        <v>WT</v>
      </c>
      <c r="R379" s="32"/>
      <c r="S379" t="str">
        <f t="shared" si="76"/>
        <v>WT</v>
      </c>
    </row>
    <row r="380" spans="1:19" x14ac:dyDescent="0.2">
      <c r="A380" t="s">
        <v>816</v>
      </c>
      <c r="B380" s="29">
        <f t="shared" si="65"/>
        <v>45904.370489671783</v>
      </c>
      <c r="C380" s="29">
        <f t="shared" si="66"/>
        <v>45904.703823005118</v>
      </c>
      <c r="D380">
        <v>-31.981524229000001</v>
      </c>
      <c r="E380">
        <v>115.818745157</v>
      </c>
      <c r="F380">
        <v>1.4790000000000001</v>
      </c>
      <c r="G380">
        <v>0</v>
      </c>
      <c r="H380" s="30">
        <f t="shared" si="67"/>
        <v>5.0067138159647584</v>
      </c>
      <c r="I380" s="31">
        <f t="shared" si="68"/>
        <v>262.6360489882552</v>
      </c>
      <c r="J380" t="b">
        <f t="shared" si="69"/>
        <v>1</v>
      </c>
      <c r="K380" t="b">
        <f t="shared" si="70"/>
        <v>0</v>
      </c>
      <c r="L380" t="b">
        <f t="shared" si="71"/>
        <v>0</v>
      </c>
      <c r="M380" t="b">
        <f t="shared" si="72"/>
        <v>1</v>
      </c>
      <c r="N380" t="b">
        <f t="shared" si="73"/>
        <v>0</v>
      </c>
      <c r="O380">
        <f t="shared" si="77"/>
        <v>11</v>
      </c>
      <c r="P380" s="31">
        <f t="shared" si="74"/>
        <v>291.79395704995841</v>
      </c>
      <c r="Q380" t="str">
        <f t="shared" si="75"/>
        <v>WT</v>
      </c>
      <c r="R380" s="32"/>
      <c r="S380" t="str">
        <f t="shared" si="76"/>
        <v>WT</v>
      </c>
    </row>
    <row r="381" spans="1:19" x14ac:dyDescent="0.2">
      <c r="A381" t="s">
        <v>817</v>
      </c>
      <c r="B381" s="29">
        <f t="shared" si="65"/>
        <v>45904.370547619859</v>
      </c>
      <c r="C381" s="29">
        <f t="shared" si="66"/>
        <v>45904.703880953195</v>
      </c>
      <c r="D381">
        <v>-31.981469407999999</v>
      </c>
      <c r="E381">
        <v>115.818749497</v>
      </c>
      <c r="F381">
        <v>1.22</v>
      </c>
      <c r="G381">
        <v>0</v>
      </c>
      <c r="H381" s="30">
        <f t="shared" si="67"/>
        <v>5.1807001233100891</v>
      </c>
      <c r="I381" s="31">
        <f t="shared" si="68"/>
        <v>262.61386452005354</v>
      </c>
      <c r="J381" t="b">
        <f t="shared" si="69"/>
        <v>1</v>
      </c>
      <c r="K381" t="b">
        <f t="shared" si="70"/>
        <v>0</v>
      </c>
      <c r="L381" t="b">
        <f t="shared" si="71"/>
        <v>0</v>
      </c>
      <c r="M381" t="b">
        <f t="shared" si="72"/>
        <v>1</v>
      </c>
      <c r="N381" t="b">
        <f t="shared" si="73"/>
        <v>0</v>
      </c>
      <c r="O381">
        <f t="shared" si="77"/>
        <v>11</v>
      </c>
      <c r="P381" s="31">
        <f t="shared" si="74"/>
        <v>291.79395704995841</v>
      </c>
      <c r="Q381" t="str">
        <f t="shared" si="75"/>
        <v>WT</v>
      </c>
      <c r="R381" s="32"/>
      <c r="S381" t="str">
        <f t="shared" si="76"/>
        <v>WT</v>
      </c>
    </row>
    <row r="382" spans="1:19" x14ac:dyDescent="0.2">
      <c r="A382" t="s">
        <v>818</v>
      </c>
      <c r="B382" s="29">
        <f t="shared" si="65"/>
        <v>45904.370607581666</v>
      </c>
      <c r="C382" s="29">
        <f t="shared" si="66"/>
        <v>45904.703940915002</v>
      </c>
      <c r="D382">
        <v>-31.981407658999998</v>
      </c>
      <c r="E382">
        <v>115.818749805</v>
      </c>
      <c r="F382">
        <v>1.325</v>
      </c>
      <c r="G382">
        <v>0</v>
      </c>
      <c r="H382" s="30">
        <f t="shared" si="67"/>
        <v>5.0067729083821177</v>
      </c>
      <c r="I382" s="31">
        <f t="shared" si="68"/>
        <v>262.32726312755079</v>
      </c>
      <c r="J382" t="b">
        <f t="shared" si="69"/>
        <v>1</v>
      </c>
      <c r="K382" t="b">
        <f t="shared" si="70"/>
        <v>0</v>
      </c>
      <c r="L382" t="b">
        <f t="shared" si="71"/>
        <v>0</v>
      </c>
      <c r="M382" t="b">
        <f t="shared" si="72"/>
        <v>1</v>
      </c>
      <c r="N382" t="b">
        <f t="shared" si="73"/>
        <v>0</v>
      </c>
      <c r="O382">
        <f t="shared" si="77"/>
        <v>11</v>
      </c>
      <c r="P382" s="31">
        <f t="shared" si="74"/>
        <v>291.79395704995841</v>
      </c>
      <c r="Q382" t="str">
        <f t="shared" si="75"/>
        <v>WT</v>
      </c>
      <c r="R382" s="32"/>
      <c r="S382" t="str">
        <f t="shared" si="76"/>
        <v>WT</v>
      </c>
    </row>
    <row r="383" spans="1:19" x14ac:dyDescent="0.2">
      <c r="A383" t="s">
        <v>819</v>
      </c>
      <c r="B383" s="29">
        <f t="shared" si="65"/>
        <v>45904.370665530427</v>
      </c>
      <c r="C383" s="29">
        <f t="shared" si="66"/>
        <v>45904.703998863763</v>
      </c>
      <c r="D383">
        <v>-31.981350263</v>
      </c>
      <c r="E383">
        <v>115.818749818</v>
      </c>
      <c r="F383">
        <v>1.2749999999999999</v>
      </c>
      <c r="G383">
        <v>0</v>
      </c>
      <c r="H383" s="30">
        <f t="shared" si="67"/>
        <v>5.1916253054514527</v>
      </c>
      <c r="I383" s="31">
        <f t="shared" si="68"/>
        <v>262.19608578473276</v>
      </c>
      <c r="J383" t="b">
        <f t="shared" si="69"/>
        <v>1</v>
      </c>
      <c r="K383" t="b">
        <f t="shared" si="70"/>
        <v>0</v>
      </c>
      <c r="L383" t="b">
        <f t="shared" si="71"/>
        <v>0</v>
      </c>
      <c r="M383" t="b">
        <f t="shared" si="72"/>
        <v>1</v>
      </c>
      <c r="N383" t="b">
        <f t="shared" si="73"/>
        <v>0</v>
      </c>
      <c r="O383">
        <f t="shared" si="77"/>
        <v>11</v>
      </c>
      <c r="P383" s="31">
        <f t="shared" si="74"/>
        <v>291.79395704995841</v>
      </c>
      <c r="Q383" t="str">
        <f t="shared" si="75"/>
        <v>WT</v>
      </c>
      <c r="R383" s="32"/>
      <c r="S383" t="str">
        <f t="shared" si="76"/>
        <v>WT</v>
      </c>
    </row>
    <row r="384" spans="1:19" x14ac:dyDescent="0.2">
      <c r="A384" t="s">
        <v>820</v>
      </c>
      <c r="B384" s="29">
        <f t="shared" si="65"/>
        <v>45904.370725618683</v>
      </c>
      <c r="C384" s="29">
        <f t="shared" si="66"/>
        <v>45904.704058952018</v>
      </c>
      <c r="D384">
        <v>-31.981295474</v>
      </c>
      <c r="E384">
        <v>115.81875711000001</v>
      </c>
      <c r="F384">
        <v>1.181</v>
      </c>
      <c r="G384">
        <v>0</v>
      </c>
      <c r="H384" s="30">
        <f t="shared" si="67"/>
        <v>5.1801349734887481</v>
      </c>
      <c r="I384" s="31">
        <f t="shared" si="68"/>
        <v>262.90228115389942</v>
      </c>
      <c r="J384" t="b">
        <f t="shared" si="69"/>
        <v>1</v>
      </c>
      <c r="K384" t="b">
        <f t="shared" si="70"/>
        <v>0</v>
      </c>
      <c r="L384" t="b">
        <f t="shared" si="71"/>
        <v>0</v>
      </c>
      <c r="M384" t="b">
        <f t="shared" si="72"/>
        <v>1</v>
      </c>
      <c r="N384" t="b">
        <f t="shared" si="73"/>
        <v>0</v>
      </c>
      <c r="O384">
        <f t="shared" si="77"/>
        <v>11</v>
      </c>
      <c r="P384" s="31">
        <f t="shared" si="74"/>
        <v>291.79395704995841</v>
      </c>
      <c r="Q384" t="str">
        <f t="shared" si="75"/>
        <v>WT</v>
      </c>
      <c r="R384" s="32"/>
      <c r="S384" t="str">
        <f t="shared" si="76"/>
        <v>WT</v>
      </c>
    </row>
    <row r="385" spans="1:19" x14ac:dyDescent="0.2">
      <c r="A385" t="s">
        <v>821</v>
      </c>
      <c r="B385" s="29">
        <f t="shared" si="65"/>
        <v>45904.370785573949</v>
      </c>
      <c r="C385" s="29">
        <f t="shared" si="66"/>
        <v>45904.704118907284</v>
      </c>
      <c r="D385">
        <v>-31.981234737000001</v>
      </c>
      <c r="E385">
        <v>115.818761032</v>
      </c>
      <c r="F385">
        <v>1.306</v>
      </c>
      <c r="G385">
        <v>0</v>
      </c>
      <c r="H385" s="30">
        <f t="shared" si="67"/>
        <v>5.0089146941900253</v>
      </c>
      <c r="I385" s="31">
        <f t="shared" si="68"/>
        <v>263.45728688143402</v>
      </c>
      <c r="J385" t="b">
        <f t="shared" si="69"/>
        <v>1</v>
      </c>
      <c r="K385" t="b">
        <f t="shared" si="70"/>
        <v>0</v>
      </c>
      <c r="L385" t="b">
        <f t="shared" si="71"/>
        <v>0</v>
      </c>
      <c r="M385" t="b">
        <f t="shared" si="72"/>
        <v>1</v>
      </c>
      <c r="N385" t="b">
        <f t="shared" si="73"/>
        <v>0</v>
      </c>
      <c r="O385">
        <f t="shared" si="77"/>
        <v>11</v>
      </c>
      <c r="P385" s="31">
        <f t="shared" si="74"/>
        <v>291.79395704995841</v>
      </c>
      <c r="Q385" t="str">
        <f t="shared" si="75"/>
        <v>WT</v>
      </c>
      <c r="R385" s="32"/>
      <c r="S385" t="str">
        <f t="shared" si="76"/>
        <v>WT</v>
      </c>
    </row>
    <row r="386" spans="1:19" x14ac:dyDescent="0.2">
      <c r="A386" t="s">
        <v>822</v>
      </c>
      <c r="B386" s="29">
        <f t="shared" ref="B386:B449" si="78">DATE(VALUE(LEFT(A386,4)),VALUE(MID(A386,6,2)),VALUE(MID(A386,9,2)))+TIME(VALUE(MID(A386,12,2)),VALUE(MID(A386,15,2)),VALUE(MID(A386,18,2)))+IFERROR(VALUE(MID(A386,21,6)),0)/86400000000</f>
        <v>45904.370843547498</v>
      </c>
      <c r="C386" s="29">
        <f t="shared" ref="C386:C449" si="79">B386+UTC_OFFSET_H/24</f>
        <v>45904.704176880834</v>
      </c>
      <c r="D386">
        <v>-31.981187777999999</v>
      </c>
      <c r="E386">
        <v>115.818767018</v>
      </c>
      <c r="F386">
        <v>1.0489999999999999</v>
      </c>
      <c r="G386">
        <v>0</v>
      </c>
      <c r="H386" s="30">
        <f t="shared" ref="H386:H439" si="80">(B387-B386)*86400</f>
        <v>5.0088260555639863</v>
      </c>
      <c r="I386" s="31">
        <f t="shared" ref="I386:I440" si="81">2*6371000*ASIN(SQRT(SIN((RADIANS(D386)-RADIANS(DEPOT_LAT))/2)^2+COS(RADIANS(DEPOT_LAT))*COS(RADIANS(D386))*SIN((RADIANS(E386)-RADIANS(DEPOT_LON))/2)^2))</f>
        <v>264.28248601706406</v>
      </c>
      <c r="J386" t="b">
        <f t="shared" ref="J386:J440" si="82">AND(WEEKDAY(C386,2)&lt;=SERVICE_LAST_WEEKDAY,MOD(C386,1)&gt;=SERVICE_START,MOD(C386,1)&lt;SERVICE_END)</f>
        <v>1</v>
      </c>
      <c r="K386" t="b">
        <f t="shared" ref="K386:K440" si="83">F386&lt;SPEED_STOP_MPS</f>
        <v>0</v>
      </c>
      <c r="L386" t="b">
        <f t="shared" ref="L386:L440" si="84">I386&lt;=DEPOT_RADIUS_M</f>
        <v>0</v>
      </c>
      <c r="M386" t="b">
        <f t="shared" ref="M386:M440" si="85">G386&gt;=0</f>
        <v>1</v>
      </c>
      <c r="N386" t="b">
        <f t="shared" ref="N386:N440" si="86">H386&gt;MAX_GAP_S</f>
        <v>0</v>
      </c>
      <c r="O386">
        <f t="shared" si="77"/>
        <v>11</v>
      </c>
      <c r="P386" s="31">
        <f t="shared" ref="P386:P449" si="87">SUMIFS($H$2:$H$440,$O$2:$O$440,O386)</f>
        <v>291.79395704995841</v>
      </c>
      <c r="Q386" t="str">
        <f t="shared" ref="Q386:Q449" si="88">IF(NOT(J386),"UT",IF(N386,IF(L386,"SB","OD"),IF(AND(K386,L386,P386&gt;=STANDBY_DWELL_S),"SB",IF(AND(K386,NOT(M386)),"OD",IF(AND(K386,NOT(L386),P386&gt;=DELAY_DWELL_S),"OD","WT")))))</f>
        <v>WT</v>
      </c>
      <c r="R386" s="32"/>
      <c r="S386" t="str">
        <f t="shared" ref="S386:S449" si="89">IF(R386&lt;&gt;"",R386,Q386)</f>
        <v>WT</v>
      </c>
    </row>
    <row r="387" spans="1:19" x14ac:dyDescent="0.2">
      <c r="A387" t="s">
        <v>823</v>
      </c>
      <c r="B387" s="29">
        <f t="shared" si="78"/>
        <v>45904.370901520022</v>
      </c>
      <c r="C387" s="29">
        <f t="shared" si="79"/>
        <v>45904.704234853358</v>
      </c>
      <c r="D387">
        <v>-31.98112772</v>
      </c>
      <c r="E387">
        <v>115.81876713299999</v>
      </c>
      <c r="F387">
        <v>1.333</v>
      </c>
      <c r="G387">
        <v>0</v>
      </c>
      <c r="H387" s="30">
        <f t="shared" si="80"/>
        <v>5.1991721615195274</v>
      </c>
      <c r="I387" s="31">
        <f t="shared" si="81"/>
        <v>264.77692456977815</v>
      </c>
      <c r="J387" t="b">
        <f t="shared" si="82"/>
        <v>1</v>
      </c>
      <c r="K387" t="b">
        <f t="shared" si="83"/>
        <v>0</v>
      </c>
      <c r="L387" t="b">
        <f t="shared" si="84"/>
        <v>0</v>
      </c>
      <c r="M387" t="b">
        <f t="shared" si="85"/>
        <v>1</v>
      </c>
      <c r="N387" t="b">
        <f t="shared" si="86"/>
        <v>0</v>
      </c>
      <c r="O387">
        <f t="shared" ref="O387:O440" si="90">IF(AND(K387=K386,L387=L386),O386,O386+1)</f>
        <v>11</v>
      </c>
      <c r="P387" s="31">
        <f t="shared" si="87"/>
        <v>291.79395704995841</v>
      </c>
      <c r="Q387" t="str">
        <f t="shared" si="88"/>
        <v>WT</v>
      </c>
      <c r="R387" s="32"/>
      <c r="S387" t="str">
        <f t="shared" si="89"/>
        <v>WT</v>
      </c>
    </row>
    <row r="388" spans="1:19" x14ac:dyDescent="0.2">
      <c r="A388" t="s">
        <v>824</v>
      </c>
      <c r="B388" s="29">
        <f t="shared" si="78"/>
        <v>45904.370961695626</v>
      </c>
      <c r="C388" s="29">
        <f t="shared" si="79"/>
        <v>45904.704295028961</v>
      </c>
      <c r="D388">
        <v>-31.981068619999999</v>
      </c>
      <c r="E388">
        <v>115.81876095</v>
      </c>
      <c r="F388">
        <v>1.2689999999999999</v>
      </c>
      <c r="G388">
        <v>0</v>
      </c>
      <c r="H388" s="30">
        <f t="shared" si="80"/>
        <v>5.2105399081483483</v>
      </c>
      <c r="I388" s="31">
        <f t="shared" si="81"/>
        <v>264.83638846446348</v>
      </c>
      <c r="J388" t="b">
        <f t="shared" si="82"/>
        <v>1</v>
      </c>
      <c r="K388" t="b">
        <f t="shared" si="83"/>
        <v>0</v>
      </c>
      <c r="L388" t="b">
        <f t="shared" si="84"/>
        <v>0</v>
      </c>
      <c r="M388" t="b">
        <f t="shared" si="85"/>
        <v>1</v>
      </c>
      <c r="N388" t="b">
        <f t="shared" si="86"/>
        <v>0</v>
      </c>
      <c r="O388">
        <f t="shared" si="90"/>
        <v>11</v>
      </c>
      <c r="P388" s="31">
        <f t="shared" si="87"/>
        <v>291.79395704995841</v>
      </c>
      <c r="Q388" t="str">
        <f t="shared" si="88"/>
        <v>WT</v>
      </c>
      <c r="R388" s="32"/>
      <c r="S388" t="str">
        <f t="shared" si="89"/>
        <v>WT</v>
      </c>
    </row>
    <row r="389" spans="1:19" x14ac:dyDescent="0.2">
      <c r="A389" t="s">
        <v>825</v>
      </c>
      <c r="B389" s="29">
        <f t="shared" si="78"/>
        <v>45904.371022002801</v>
      </c>
      <c r="C389" s="29">
        <f t="shared" si="79"/>
        <v>45904.704355336136</v>
      </c>
      <c r="D389">
        <v>-31.981013526000002</v>
      </c>
      <c r="E389">
        <v>115.81873716699999</v>
      </c>
      <c r="F389">
        <v>1.252</v>
      </c>
      <c r="G389">
        <v>0</v>
      </c>
      <c r="H389" s="30">
        <f t="shared" si="80"/>
        <v>5.2028459496796131</v>
      </c>
      <c r="I389" s="31">
        <f t="shared" si="81"/>
        <v>263.35537300041085</v>
      </c>
      <c r="J389" t="b">
        <f t="shared" si="82"/>
        <v>1</v>
      </c>
      <c r="K389" t="b">
        <f t="shared" si="83"/>
        <v>0</v>
      </c>
      <c r="L389" t="b">
        <f t="shared" si="84"/>
        <v>0</v>
      </c>
      <c r="M389" t="b">
        <f t="shared" si="85"/>
        <v>1</v>
      </c>
      <c r="N389" t="b">
        <f t="shared" si="86"/>
        <v>0</v>
      </c>
      <c r="O389">
        <f t="shared" si="90"/>
        <v>11</v>
      </c>
      <c r="P389" s="31">
        <f t="shared" si="87"/>
        <v>291.79395704995841</v>
      </c>
      <c r="Q389" t="str">
        <f t="shared" si="88"/>
        <v>WT</v>
      </c>
      <c r="R389" s="32"/>
      <c r="S389" t="str">
        <f t="shared" si="89"/>
        <v>WT</v>
      </c>
    </row>
    <row r="390" spans="1:19" x14ac:dyDescent="0.2">
      <c r="A390" t="s">
        <v>826</v>
      </c>
      <c r="B390" s="29">
        <f t="shared" si="78"/>
        <v>45904.371082220925</v>
      </c>
      <c r="C390" s="29">
        <f t="shared" si="79"/>
        <v>45904.704415554261</v>
      </c>
      <c r="D390">
        <v>-31.980988627999999</v>
      </c>
      <c r="E390">
        <v>115.818716514</v>
      </c>
      <c r="F390">
        <v>0.65100000000000002</v>
      </c>
      <c r="G390">
        <v>0</v>
      </c>
      <c r="H390" s="30">
        <f t="shared" si="80"/>
        <v>5.19190882332623</v>
      </c>
      <c r="I390" s="31">
        <f t="shared" si="81"/>
        <v>261.81210014730732</v>
      </c>
      <c r="J390" t="b">
        <f t="shared" si="82"/>
        <v>1</v>
      </c>
      <c r="K390" t="b">
        <f t="shared" si="83"/>
        <v>0</v>
      </c>
      <c r="L390" t="b">
        <f t="shared" si="84"/>
        <v>0</v>
      </c>
      <c r="M390" t="b">
        <f t="shared" si="85"/>
        <v>1</v>
      </c>
      <c r="N390" t="b">
        <f t="shared" si="86"/>
        <v>0</v>
      </c>
      <c r="O390">
        <f t="shared" si="90"/>
        <v>11</v>
      </c>
      <c r="P390" s="31">
        <f t="shared" si="87"/>
        <v>291.79395704995841</v>
      </c>
      <c r="Q390" t="str">
        <f t="shared" si="88"/>
        <v>WT</v>
      </c>
      <c r="R390" s="32"/>
      <c r="S390" t="str">
        <f t="shared" si="89"/>
        <v>WT</v>
      </c>
    </row>
    <row r="391" spans="1:19" x14ac:dyDescent="0.2">
      <c r="A391" t="s">
        <v>827</v>
      </c>
      <c r="B391" s="29">
        <f t="shared" si="78"/>
        <v>45904.371142312462</v>
      </c>
      <c r="C391" s="29">
        <f t="shared" si="79"/>
        <v>45904.704475645798</v>
      </c>
      <c r="D391">
        <v>-31.980971316000002</v>
      </c>
      <c r="E391">
        <v>115.818624536</v>
      </c>
      <c r="F391">
        <v>1.712</v>
      </c>
      <c r="G391">
        <v>0</v>
      </c>
      <c r="H391" s="30">
        <f t="shared" si="80"/>
        <v>5.1892760675400496</v>
      </c>
      <c r="I391" s="31">
        <f t="shared" si="81"/>
        <v>253.5274258301971</v>
      </c>
      <c r="J391" t="b">
        <f t="shared" si="82"/>
        <v>1</v>
      </c>
      <c r="K391" t="b">
        <f t="shared" si="83"/>
        <v>0</v>
      </c>
      <c r="L391" t="b">
        <f t="shared" si="84"/>
        <v>0</v>
      </c>
      <c r="M391" t="b">
        <f t="shared" si="85"/>
        <v>1</v>
      </c>
      <c r="N391" t="b">
        <f t="shared" si="86"/>
        <v>0</v>
      </c>
      <c r="O391">
        <f t="shared" si="90"/>
        <v>11</v>
      </c>
      <c r="P391" s="31">
        <f t="shared" si="87"/>
        <v>291.79395704995841</v>
      </c>
      <c r="Q391" t="str">
        <f t="shared" si="88"/>
        <v>WT</v>
      </c>
      <c r="R391" s="32"/>
      <c r="S391" t="str">
        <f t="shared" si="89"/>
        <v>WT</v>
      </c>
    </row>
    <row r="392" spans="1:19" x14ac:dyDescent="0.2">
      <c r="A392" t="s">
        <v>828</v>
      </c>
      <c r="B392" s="29">
        <f t="shared" si="78"/>
        <v>45904.371202373528</v>
      </c>
      <c r="C392" s="29">
        <f t="shared" si="79"/>
        <v>45904.704535706864</v>
      </c>
      <c r="D392">
        <v>-31.980972194</v>
      </c>
      <c r="E392">
        <v>115.818559441</v>
      </c>
      <c r="F392">
        <v>1.1830000000000001</v>
      </c>
      <c r="G392">
        <v>0</v>
      </c>
      <c r="H392" s="30">
        <f t="shared" si="80"/>
        <v>5.0185649888589978</v>
      </c>
      <c r="I392" s="31">
        <f t="shared" si="81"/>
        <v>247.45041009825559</v>
      </c>
      <c r="J392" t="b">
        <f t="shared" si="82"/>
        <v>1</v>
      </c>
      <c r="K392" t="b">
        <f t="shared" si="83"/>
        <v>0</v>
      </c>
      <c r="L392" t="b">
        <f t="shared" si="84"/>
        <v>0</v>
      </c>
      <c r="M392" t="b">
        <f t="shared" si="85"/>
        <v>1</v>
      </c>
      <c r="N392" t="b">
        <f t="shared" si="86"/>
        <v>0</v>
      </c>
      <c r="O392">
        <f t="shared" si="90"/>
        <v>11</v>
      </c>
      <c r="P392" s="31">
        <f t="shared" si="87"/>
        <v>291.79395704995841</v>
      </c>
      <c r="Q392" t="str">
        <f t="shared" si="88"/>
        <v>WT</v>
      </c>
      <c r="R392" s="32"/>
      <c r="S392" t="str">
        <f t="shared" si="89"/>
        <v>WT</v>
      </c>
    </row>
    <row r="393" spans="1:19" x14ac:dyDescent="0.2">
      <c r="A393" t="s">
        <v>829</v>
      </c>
      <c r="B393" s="29">
        <f t="shared" si="78"/>
        <v>45904.371260458771</v>
      </c>
      <c r="C393" s="29">
        <f t="shared" si="79"/>
        <v>45904.704593792107</v>
      </c>
      <c r="D393">
        <v>-31.980968771000001</v>
      </c>
      <c r="E393">
        <v>115.81849352899999</v>
      </c>
      <c r="F393">
        <v>1.2410000000000001</v>
      </c>
      <c r="G393">
        <v>0</v>
      </c>
      <c r="H393" s="30">
        <f t="shared" si="80"/>
        <v>5.1791140576824546</v>
      </c>
      <c r="I393" s="31">
        <f t="shared" si="81"/>
        <v>241.37972230682774</v>
      </c>
      <c r="J393" t="b">
        <f t="shared" si="82"/>
        <v>1</v>
      </c>
      <c r="K393" t="b">
        <f t="shared" si="83"/>
        <v>0</v>
      </c>
      <c r="L393" t="b">
        <f t="shared" si="84"/>
        <v>0</v>
      </c>
      <c r="M393" t="b">
        <f t="shared" si="85"/>
        <v>1</v>
      </c>
      <c r="N393" t="b">
        <f t="shared" si="86"/>
        <v>0</v>
      </c>
      <c r="O393">
        <f t="shared" si="90"/>
        <v>11</v>
      </c>
      <c r="P393" s="31">
        <f t="shared" si="87"/>
        <v>291.79395704995841</v>
      </c>
      <c r="Q393" t="str">
        <f t="shared" si="88"/>
        <v>WT</v>
      </c>
      <c r="R393" s="32"/>
      <c r="S393" t="str">
        <f t="shared" si="89"/>
        <v>WT</v>
      </c>
    </row>
    <row r="394" spans="1:19" x14ac:dyDescent="0.2">
      <c r="A394" t="s">
        <v>830</v>
      </c>
      <c r="B394" s="29">
        <f t="shared" si="78"/>
        <v>45904.371320402221</v>
      </c>
      <c r="C394" s="29">
        <f t="shared" si="79"/>
        <v>45904.704653735556</v>
      </c>
      <c r="D394">
        <v>-31.980972934</v>
      </c>
      <c r="E394">
        <v>115.81842159200001</v>
      </c>
      <c r="F394">
        <v>1.3129999999999999</v>
      </c>
      <c r="G394">
        <v>0</v>
      </c>
      <c r="H394" s="30">
        <f t="shared" si="80"/>
        <v>5.235079606063664</v>
      </c>
      <c r="I394" s="31">
        <f t="shared" si="81"/>
        <v>234.61329514443975</v>
      </c>
      <c r="J394" t="b">
        <f t="shared" si="82"/>
        <v>1</v>
      </c>
      <c r="K394" t="b">
        <f t="shared" si="83"/>
        <v>0</v>
      </c>
      <c r="L394" t="b">
        <f t="shared" si="84"/>
        <v>0</v>
      </c>
      <c r="M394" t="b">
        <f t="shared" si="85"/>
        <v>1</v>
      </c>
      <c r="N394" t="b">
        <f t="shared" si="86"/>
        <v>0</v>
      </c>
      <c r="O394">
        <f t="shared" si="90"/>
        <v>11</v>
      </c>
      <c r="P394" s="31">
        <f t="shared" si="87"/>
        <v>291.79395704995841</v>
      </c>
      <c r="Q394" t="str">
        <f t="shared" si="88"/>
        <v>WT</v>
      </c>
      <c r="R394" s="32"/>
      <c r="S394" t="str">
        <f t="shared" si="89"/>
        <v>WT</v>
      </c>
    </row>
    <row r="395" spans="1:19" x14ac:dyDescent="0.2">
      <c r="A395" t="s">
        <v>831</v>
      </c>
      <c r="B395" s="29">
        <f t="shared" si="78"/>
        <v>45904.37138099342</v>
      </c>
      <c r="C395" s="29">
        <f t="shared" si="79"/>
        <v>45904.704714326755</v>
      </c>
      <c r="D395">
        <v>-31.980964562</v>
      </c>
      <c r="E395">
        <v>115.818335639</v>
      </c>
      <c r="F395">
        <v>1.5589999999999999</v>
      </c>
      <c r="G395">
        <v>0</v>
      </c>
      <c r="H395" s="30">
        <f t="shared" si="80"/>
        <v>5.0069225253537297</v>
      </c>
      <c r="I395" s="31">
        <f t="shared" si="81"/>
        <v>226.79241690475939</v>
      </c>
      <c r="J395" t="b">
        <f t="shared" si="82"/>
        <v>1</v>
      </c>
      <c r="K395" t="b">
        <f t="shared" si="83"/>
        <v>0</v>
      </c>
      <c r="L395" t="b">
        <f t="shared" si="84"/>
        <v>0</v>
      </c>
      <c r="M395" t="b">
        <f t="shared" si="85"/>
        <v>1</v>
      </c>
      <c r="N395" t="b">
        <f t="shared" si="86"/>
        <v>0</v>
      </c>
      <c r="O395">
        <f t="shared" si="90"/>
        <v>11</v>
      </c>
      <c r="P395" s="31">
        <f t="shared" si="87"/>
        <v>291.79395704995841</v>
      </c>
      <c r="Q395" t="str">
        <f t="shared" si="88"/>
        <v>WT</v>
      </c>
      <c r="R395" s="32"/>
      <c r="S395" t="str">
        <f t="shared" si="89"/>
        <v>WT</v>
      </c>
    </row>
    <row r="396" spans="1:19" x14ac:dyDescent="0.2">
      <c r="A396" t="s">
        <v>832</v>
      </c>
      <c r="B396" s="29">
        <f t="shared" si="78"/>
        <v>45904.371438943912</v>
      </c>
      <c r="C396" s="29">
        <f t="shared" si="79"/>
        <v>45904.704772277248</v>
      </c>
      <c r="D396">
        <v>-31.980965253000001</v>
      </c>
      <c r="E396">
        <v>115.818267996</v>
      </c>
      <c r="F396">
        <v>1.274</v>
      </c>
      <c r="G396">
        <v>0</v>
      </c>
      <c r="H396" s="30">
        <f t="shared" si="80"/>
        <v>5.0077825086191297</v>
      </c>
      <c r="I396" s="31">
        <f t="shared" si="81"/>
        <v>220.5045208387308</v>
      </c>
      <c r="J396" t="b">
        <f t="shared" si="82"/>
        <v>1</v>
      </c>
      <c r="K396" t="b">
        <f t="shared" si="83"/>
        <v>0</v>
      </c>
      <c r="L396" t="b">
        <f t="shared" si="84"/>
        <v>0</v>
      </c>
      <c r="M396" t="b">
        <f t="shared" si="85"/>
        <v>1</v>
      </c>
      <c r="N396" t="b">
        <f t="shared" si="86"/>
        <v>0</v>
      </c>
      <c r="O396">
        <f t="shared" si="90"/>
        <v>11</v>
      </c>
      <c r="P396" s="31">
        <f t="shared" si="87"/>
        <v>291.79395704995841</v>
      </c>
      <c r="Q396" t="str">
        <f t="shared" si="88"/>
        <v>WT</v>
      </c>
      <c r="R396" s="32"/>
      <c r="S396" t="str">
        <f t="shared" si="89"/>
        <v>WT</v>
      </c>
    </row>
    <row r="397" spans="1:19" x14ac:dyDescent="0.2">
      <c r="A397" t="s">
        <v>833</v>
      </c>
      <c r="B397" s="29">
        <f t="shared" si="78"/>
        <v>45904.371496904358</v>
      </c>
      <c r="C397" s="29">
        <f t="shared" si="79"/>
        <v>45904.704830237693</v>
      </c>
      <c r="D397">
        <v>-31.980967510999999</v>
      </c>
      <c r="E397">
        <v>115.818200261</v>
      </c>
      <c r="F397">
        <v>1.2769999999999999</v>
      </c>
      <c r="G397">
        <v>0</v>
      </c>
      <c r="H397" s="30">
        <f t="shared" si="80"/>
        <v>5.1783188246190548</v>
      </c>
      <c r="I397" s="31">
        <f t="shared" si="81"/>
        <v>214.18071435678442</v>
      </c>
      <c r="J397" t="b">
        <f t="shared" si="82"/>
        <v>1</v>
      </c>
      <c r="K397" t="b">
        <f t="shared" si="83"/>
        <v>0</v>
      </c>
      <c r="L397" t="b">
        <f t="shared" si="84"/>
        <v>0</v>
      </c>
      <c r="M397" t="b">
        <f t="shared" si="85"/>
        <v>1</v>
      </c>
      <c r="N397" t="b">
        <f t="shared" si="86"/>
        <v>0</v>
      </c>
      <c r="O397">
        <f t="shared" si="90"/>
        <v>11</v>
      </c>
      <c r="P397" s="31">
        <f t="shared" si="87"/>
        <v>291.79395704995841</v>
      </c>
      <c r="Q397" t="str">
        <f t="shared" si="88"/>
        <v>WT</v>
      </c>
      <c r="R397" s="32"/>
      <c r="S397" t="str">
        <f t="shared" si="89"/>
        <v>WT</v>
      </c>
    </row>
    <row r="398" spans="1:19" x14ac:dyDescent="0.2">
      <c r="A398" t="s">
        <v>834</v>
      </c>
      <c r="B398" s="29">
        <f t="shared" si="78"/>
        <v>45904.371556838603</v>
      </c>
      <c r="C398" s="29">
        <f t="shared" si="79"/>
        <v>45904.704890171939</v>
      </c>
      <c r="D398">
        <v>-31.980969792</v>
      </c>
      <c r="E398">
        <v>115.81813083199999</v>
      </c>
      <c r="F398">
        <v>1.266</v>
      </c>
      <c r="G398">
        <v>0</v>
      </c>
      <c r="H398" s="30">
        <f t="shared" si="80"/>
        <v>5.1708725513890386</v>
      </c>
      <c r="I398" s="31">
        <f t="shared" si="81"/>
        <v>207.70390513056017</v>
      </c>
      <c r="J398" t="b">
        <f t="shared" si="82"/>
        <v>1</v>
      </c>
      <c r="K398" t="b">
        <f t="shared" si="83"/>
        <v>0</v>
      </c>
      <c r="L398" t="b">
        <f t="shared" si="84"/>
        <v>0</v>
      </c>
      <c r="M398" t="b">
        <f t="shared" si="85"/>
        <v>1</v>
      </c>
      <c r="N398" t="b">
        <f t="shared" si="86"/>
        <v>0</v>
      </c>
      <c r="O398">
        <f t="shared" si="90"/>
        <v>11</v>
      </c>
      <c r="P398" s="31">
        <f t="shared" si="87"/>
        <v>291.79395704995841</v>
      </c>
      <c r="Q398" t="str">
        <f t="shared" si="88"/>
        <v>WT</v>
      </c>
      <c r="R398" s="32"/>
      <c r="S398" t="str">
        <f t="shared" si="89"/>
        <v>WT</v>
      </c>
    </row>
    <row r="399" spans="1:19" x14ac:dyDescent="0.2">
      <c r="A399" t="s">
        <v>835</v>
      </c>
      <c r="B399" s="29">
        <f t="shared" si="78"/>
        <v>45904.371616686665</v>
      </c>
      <c r="C399" s="29">
        <f t="shared" si="79"/>
        <v>45904.704950020001</v>
      </c>
      <c r="D399">
        <v>-31.980969908999999</v>
      </c>
      <c r="E399">
        <v>115.818060534</v>
      </c>
      <c r="F399">
        <v>1.282</v>
      </c>
      <c r="G399">
        <v>0</v>
      </c>
      <c r="H399" s="30">
        <f t="shared" si="80"/>
        <v>5.0178741104900837</v>
      </c>
      <c r="I399" s="31">
        <f t="shared" si="81"/>
        <v>201.19945811211133</v>
      </c>
      <c r="J399" t="b">
        <f t="shared" si="82"/>
        <v>1</v>
      </c>
      <c r="K399" t="b">
        <f t="shared" si="83"/>
        <v>0</v>
      </c>
      <c r="L399" t="b">
        <f t="shared" si="84"/>
        <v>0</v>
      </c>
      <c r="M399" t="b">
        <f t="shared" si="85"/>
        <v>1</v>
      </c>
      <c r="N399" t="b">
        <f t="shared" si="86"/>
        <v>0</v>
      </c>
      <c r="O399">
        <f t="shared" si="90"/>
        <v>11</v>
      </c>
      <c r="P399" s="31">
        <f t="shared" si="87"/>
        <v>291.79395704995841</v>
      </c>
      <c r="Q399" t="str">
        <f t="shared" si="88"/>
        <v>WT</v>
      </c>
      <c r="R399" s="32"/>
      <c r="S399" t="str">
        <f t="shared" si="89"/>
        <v>WT</v>
      </c>
    </row>
    <row r="400" spans="1:19" x14ac:dyDescent="0.2">
      <c r="A400" t="s">
        <v>836</v>
      </c>
      <c r="B400" s="29">
        <f t="shared" si="78"/>
        <v>45904.371674763912</v>
      </c>
      <c r="C400" s="29">
        <f t="shared" si="79"/>
        <v>45904.705008097248</v>
      </c>
      <c r="D400">
        <v>-31.980967222</v>
      </c>
      <c r="E400">
        <v>115.817990138</v>
      </c>
      <c r="F400">
        <v>1.325</v>
      </c>
      <c r="G400">
        <v>0</v>
      </c>
      <c r="H400" s="30">
        <f t="shared" si="80"/>
        <v>5.0101518630981445</v>
      </c>
      <c r="I400" s="31">
        <f t="shared" si="81"/>
        <v>194.75880416387912</v>
      </c>
      <c r="J400" t="b">
        <f t="shared" si="82"/>
        <v>1</v>
      </c>
      <c r="K400" t="b">
        <f t="shared" si="83"/>
        <v>0</v>
      </c>
      <c r="L400" t="b">
        <f t="shared" si="84"/>
        <v>0</v>
      </c>
      <c r="M400" t="b">
        <f t="shared" si="85"/>
        <v>1</v>
      </c>
      <c r="N400" t="b">
        <f t="shared" si="86"/>
        <v>0</v>
      </c>
      <c r="O400">
        <f t="shared" si="90"/>
        <v>11</v>
      </c>
      <c r="P400" s="31">
        <f t="shared" si="87"/>
        <v>291.79395704995841</v>
      </c>
      <c r="Q400" t="str">
        <f t="shared" si="88"/>
        <v>WT</v>
      </c>
      <c r="R400" s="32"/>
      <c r="S400" t="str">
        <f t="shared" si="89"/>
        <v>WT</v>
      </c>
    </row>
    <row r="401" spans="1:19" x14ac:dyDescent="0.2">
      <c r="A401" t="s">
        <v>837</v>
      </c>
      <c r="B401" s="29">
        <f t="shared" si="78"/>
        <v>45904.371732751781</v>
      </c>
      <c r="C401" s="29">
        <f t="shared" si="79"/>
        <v>45904.705066085116</v>
      </c>
      <c r="D401">
        <v>-31.980965573999999</v>
      </c>
      <c r="E401">
        <v>115.81792106100001</v>
      </c>
      <c r="F401">
        <v>1.3009999999999999</v>
      </c>
      <c r="G401">
        <v>0</v>
      </c>
      <c r="H401" s="30">
        <f t="shared" si="80"/>
        <v>5.187891167588532</v>
      </c>
      <c r="I401" s="31">
        <f t="shared" si="81"/>
        <v>188.42903907979144</v>
      </c>
      <c r="J401" t="b">
        <f t="shared" si="82"/>
        <v>1</v>
      </c>
      <c r="K401" t="b">
        <f t="shared" si="83"/>
        <v>0</v>
      </c>
      <c r="L401" t="b">
        <f t="shared" si="84"/>
        <v>0</v>
      </c>
      <c r="M401" t="b">
        <f t="shared" si="85"/>
        <v>1</v>
      </c>
      <c r="N401" t="b">
        <f t="shared" si="86"/>
        <v>0</v>
      </c>
      <c r="O401">
        <f t="shared" si="90"/>
        <v>11</v>
      </c>
      <c r="P401" s="31">
        <f t="shared" si="87"/>
        <v>291.79395704995841</v>
      </c>
      <c r="Q401" t="str">
        <f t="shared" si="88"/>
        <v>WT</v>
      </c>
      <c r="R401" s="32"/>
      <c r="S401" t="str">
        <f t="shared" si="89"/>
        <v>WT</v>
      </c>
    </row>
    <row r="402" spans="1:19" x14ac:dyDescent="0.2">
      <c r="A402" t="s">
        <v>838</v>
      </c>
      <c r="B402" s="29">
        <f t="shared" si="78"/>
        <v>45904.371792796817</v>
      </c>
      <c r="C402" s="29">
        <f t="shared" si="79"/>
        <v>45904.705126130153</v>
      </c>
      <c r="D402">
        <v>-31.980967052</v>
      </c>
      <c r="E402">
        <v>115.817850359</v>
      </c>
      <c r="F402">
        <v>1.286</v>
      </c>
      <c r="G402">
        <v>0</v>
      </c>
      <c r="H402" s="30">
        <f t="shared" si="80"/>
        <v>5.1909790607169271</v>
      </c>
      <c r="I402" s="31">
        <f t="shared" si="81"/>
        <v>181.88570723905551</v>
      </c>
      <c r="J402" t="b">
        <f t="shared" si="82"/>
        <v>1</v>
      </c>
      <c r="K402" t="b">
        <f t="shared" si="83"/>
        <v>0</v>
      </c>
      <c r="L402" t="b">
        <f t="shared" si="84"/>
        <v>0</v>
      </c>
      <c r="M402" t="b">
        <f t="shared" si="85"/>
        <v>1</v>
      </c>
      <c r="N402" t="b">
        <f t="shared" si="86"/>
        <v>0</v>
      </c>
      <c r="O402">
        <f t="shared" si="90"/>
        <v>11</v>
      </c>
      <c r="P402" s="31">
        <f t="shared" si="87"/>
        <v>291.79395704995841</v>
      </c>
      <c r="Q402" t="str">
        <f t="shared" si="88"/>
        <v>WT</v>
      </c>
      <c r="R402" s="32"/>
      <c r="S402" t="str">
        <f t="shared" si="89"/>
        <v>WT</v>
      </c>
    </row>
    <row r="403" spans="1:19" x14ac:dyDescent="0.2">
      <c r="A403" t="s">
        <v>839</v>
      </c>
      <c r="B403" s="29">
        <f t="shared" si="78"/>
        <v>45904.371852877593</v>
      </c>
      <c r="C403" s="29">
        <f t="shared" si="79"/>
        <v>45904.705186210929</v>
      </c>
      <c r="D403">
        <v>-31.980966768999998</v>
      </c>
      <c r="E403">
        <v>115.817779317</v>
      </c>
      <c r="F403">
        <v>1.2909999999999999</v>
      </c>
      <c r="G403">
        <v>0</v>
      </c>
      <c r="H403" s="30">
        <f t="shared" si="80"/>
        <v>5.2442049840465188</v>
      </c>
      <c r="I403" s="31">
        <f t="shared" si="81"/>
        <v>175.36574154627021</v>
      </c>
      <c r="J403" t="b">
        <f t="shared" si="82"/>
        <v>1</v>
      </c>
      <c r="K403" t="b">
        <f t="shared" si="83"/>
        <v>0</v>
      </c>
      <c r="L403" t="b">
        <f t="shared" si="84"/>
        <v>0</v>
      </c>
      <c r="M403" t="b">
        <f t="shared" si="85"/>
        <v>1</v>
      </c>
      <c r="N403" t="b">
        <f t="shared" si="86"/>
        <v>0</v>
      </c>
      <c r="O403">
        <f t="shared" si="90"/>
        <v>11</v>
      </c>
      <c r="P403" s="31">
        <f t="shared" si="87"/>
        <v>291.79395704995841</v>
      </c>
      <c r="Q403" t="str">
        <f t="shared" si="88"/>
        <v>WT</v>
      </c>
      <c r="R403" s="32"/>
      <c r="S403" t="str">
        <f t="shared" si="89"/>
        <v>WT</v>
      </c>
    </row>
    <row r="404" spans="1:19" x14ac:dyDescent="0.2">
      <c r="A404" t="s">
        <v>840</v>
      </c>
      <c r="B404" s="29">
        <f t="shared" si="78"/>
        <v>45904.37191357441</v>
      </c>
      <c r="C404" s="29">
        <f t="shared" si="79"/>
        <v>45904.705246907746</v>
      </c>
      <c r="D404">
        <v>-31.980965874999999</v>
      </c>
      <c r="E404">
        <v>115.81770918300001</v>
      </c>
      <c r="F404">
        <v>1.262</v>
      </c>
      <c r="G404">
        <v>0</v>
      </c>
      <c r="H404" s="30">
        <f t="shared" si="80"/>
        <v>5.1695693749934435</v>
      </c>
      <c r="I404" s="31">
        <f t="shared" si="81"/>
        <v>168.9593408145694</v>
      </c>
      <c r="J404" t="b">
        <f t="shared" si="82"/>
        <v>1</v>
      </c>
      <c r="K404" t="b">
        <f t="shared" si="83"/>
        <v>0</v>
      </c>
      <c r="L404" t="b">
        <f t="shared" si="84"/>
        <v>0</v>
      </c>
      <c r="M404" t="b">
        <f t="shared" si="85"/>
        <v>1</v>
      </c>
      <c r="N404" t="b">
        <f t="shared" si="86"/>
        <v>0</v>
      </c>
      <c r="O404">
        <f t="shared" si="90"/>
        <v>11</v>
      </c>
      <c r="P404" s="31">
        <f t="shared" si="87"/>
        <v>291.79395704995841</v>
      </c>
      <c r="Q404" t="str">
        <f t="shared" si="88"/>
        <v>WT</v>
      </c>
      <c r="R404" s="32"/>
      <c r="S404" t="str">
        <f t="shared" si="89"/>
        <v>WT</v>
      </c>
    </row>
    <row r="405" spans="1:19" x14ac:dyDescent="0.2">
      <c r="A405" t="s">
        <v>841</v>
      </c>
      <c r="B405" s="29">
        <f t="shared" si="78"/>
        <v>45904.371973407389</v>
      </c>
      <c r="C405" s="29">
        <f t="shared" si="79"/>
        <v>45904.705306740725</v>
      </c>
      <c r="D405">
        <v>-31.980966399</v>
      </c>
      <c r="E405">
        <v>115.81763812200001</v>
      </c>
      <c r="F405">
        <v>1.2969999999999999</v>
      </c>
      <c r="G405">
        <v>0</v>
      </c>
      <c r="H405" s="30">
        <f t="shared" si="80"/>
        <v>5.0187768414616585</v>
      </c>
      <c r="I405" s="31">
        <f t="shared" si="81"/>
        <v>162.44572324618338</v>
      </c>
      <c r="J405" t="b">
        <f t="shared" si="82"/>
        <v>1</v>
      </c>
      <c r="K405" t="b">
        <f t="shared" si="83"/>
        <v>0</v>
      </c>
      <c r="L405" t="b">
        <f t="shared" si="84"/>
        <v>0</v>
      </c>
      <c r="M405" t="b">
        <f t="shared" si="85"/>
        <v>1</v>
      </c>
      <c r="N405" t="b">
        <f t="shared" si="86"/>
        <v>0</v>
      </c>
      <c r="O405">
        <f t="shared" si="90"/>
        <v>11</v>
      </c>
      <c r="P405" s="31">
        <f t="shared" si="87"/>
        <v>291.79395704995841</v>
      </c>
      <c r="Q405" t="str">
        <f t="shared" si="88"/>
        <v>WT</v>
      </c>
      <c r="R405" s="32"/>
      <c r="S405" t="str">
        <f t="shared" si="89"/>
        <v>WT</v>
      </c>
    </row>
    <row r="406" spans="1:19" x14ac:dyDescent="0.2">
      <c r="A406" t="s">
        <v>842</v>
      </c>
      <c r="B406" s="29">
        <f t="shared" si="78"/>
        <v>45904.372031495084</v>
      </c>
      <c r="C406" s="29">
        <f t="shared" si="79"/>
        <v>45904.70536482842</v>
      </c>
      <c r="D406">
        <v>-31.980966218999999</v>
      </c>
      <c r="E406">
        <v>115.817569999</v>
      </c>
      <c r="F406">
        <v>1.28</v>
      </c>
      <c r="G406">
        <v>0</v>
      </c>
      <c r="H406" s="30">
        <f t="shared" si="80"/>
        <v>5.1697007613256574</v>
      </c>
      <c r="I406" s="31">
        <f t="shared" si="81"/>
        <v>156.2360469572842</v>
      </c>
      <c r="J406" t="b">
        <f t="shared" si="82"/>
        <v>1</v>
      </c>
      <c r="K406" t="b">
        <f t="shared" si="83"/>
        <v>0</v>
      </c>
      <c r="L406" t="b">
        <f t="shared" si="84"/>
        <v>0</v>
      </c>
      <c r="M406" t="b">
        <f t="shared" si="85"/>
        <v>1</v>
      </c>
      <c r="N406" t="b">
        <f t="shared" si="86"/>
        <v>0</v>
      </c>
      <c r="O406">
        <f t="shared" si="90"/>
        <v>11</v>
      </c>
      <c r="P406" s="31">
        <f t="shared" si="87"/>
        <v>291.79395704995841</v>
      </c>
      <c r="Q406" t="str">
        <f t="shared" si="88"/>
        <v>WT</v>
      </c>
      <c r="R406" s="32"/>
      <c r="S406" t="str">
        <f t="shared" si="89"/>
        <v>WT</v>
      </c>
    </row>
    <row r="407" spans="1:19" x14ac:dyDescent="0.2">
      <c r="A407" t="s">
        <v>843</v>
      </c>
      <c r="B407" s="29">
        <f t="shared" si="78"/>
        <v>45904.372091329584</v>
      </c>
      <c r="C407" s="29">
        <f t="shared" si="79"/>
        <v>45904.70542466292</v>
      </c>
      <c r="D407">
        <v>-31.980965058999999</v>
      </c>
      <c r="E407">
        <v>115.817499719</v>
      </c>
      <c r="F407">
        <v>1.282</v>
      </c>
      <c r="G407">
        <v>0</v>
      </c>
      <c r="H407" s="30">
        <f t="shared" si="80"/>
        <v>5.0064202398061752</v>
      </c>
      <c r="I407" s="31">
        <f t="shared" si="81"/>
        <v>149.87809960833275</v>
      </c>
      <c r="J407" t="b">
        <f t="shared" si="82"/>
        <v>1</v>
      </c>
      <c r="K407" t="b">
        <f t="shared" si="83"/>
        <v>0</v>
      </c>
      <c r="L407" t="b">
        <f t="shared" si="84"/>
        <v>0</v>
      </c>
      <c r="M407" t="b">
        <f t="shared" si="85"/>
        <v>1</v>
      </c>
      <c r="N407" t="b">
        <f t="shared" si="86"/>
        <v>0</v>
      </c>
      <c r="O407">
        <f t="shared" si="90"/>
        <v>11</v>
      </c>
      <c r="P407" s="31">
        <f t="shared" si="87"/>
        <v>291.79395704995841</v>
      </c>
      <c r="Q407" t="str">
        <f t="shared" si="88"/>
        <v>WT</v>
      </c>
      <c r="R407" s="32"/>
      <c r="S407" t="str">
        <f t="shared" si="89"/>
        <v>WT</v>
      </c>
    </row>
    <row r="408" spans="1:19" x14ac:dyDescent="0.2">
      <c r="A408" t="s">
        <v>844</v>
      </c>
      <c r="B408" s="29">
        <f t="shared" si="78"/>
        <v>45904.372149274262</v>
      </c>
      <c r="C408" s="29">
        <f t="shared" si="79"/>
        <v>45904.705482607598</v>
      </c>
      <c r="D408">
        <v>-31.980964902</v>
      </c>
      <c r="E408">
        <v>115.817436292</v>
      </c>
      <c r="F408">
        <v>1.1950000000000001</v>
      </c>
      <c r="G408">
        <v>0</v>
      </c>
      <c r="H408" s="30">
        <f t="shared" si="80"/>
        <v>5.0095879705622792</v>
      </c>
      <c r="I408" s="31">
        <f t="shared" si="81"/>
        <v>144.13324986312497</v>
      </c>
      <c r="J408" t="b">
        <f t="shared" si="82"/>
        <v>1</v>
      </c>
      <c r="K408" t="b">
        <f t="shared" si="83"/>
        <v>0</v>
      </c>
      <c r="L408" t="b">
        <f t="shared" si="84"/>
        <v>0</v>
      </c>
      <c r="M408" t="b">
        <f t="shared" si="85"/>
        <v>1</v>
      </c>
      <c r="N408" t="b">
        <f t="shared" si="86"/>
        <v>0</v>
      </c>
      <c r="O408">
        <f t="shared" si="90"/>
        <v>11</v>
      </c>
      <c r="P408" s="31">
        <f t="shared" si="87"/>
        <v>291.79395704995841</v>
      </c>
      <c r="Q408" t="str">
        <f t="shared" si="88"/>
        <v>WT</v>
      </c>
      <c r="R408" s="32"/>
      <c r="S408" t="str">
        <f t="shared" si="89"/>
        <v>WT</v>
      </c>
    </row>
    <row r="409" spans="1:19" x14ac:dyDescent="0.2">
      <c r="A409" t="s">
        <v>845</v>
      </c>
      <c r="B409" s="29">
        <f t="shared" si="78"/>
        <v>45904.372207255605</v>
      </c>
      <c r="C409" s="29">
        <f t="shared" si="79"/>
        <v>45904.70554058894</v>
      </c>
      <c r="D409">
        <v>-31.980967740000001</v>
      </c>
      <c r="E409">
        <v>115.817379833</v>
      </c>
      <c r="F409">
        <v>1.0649999999999999</v>
      </c>
      <c r="G409">
        <v>0</v>
      </c>
      <c r="H409" s="30">
        <f t="shared" si="80"/>
        <v>5.1794943865388632</v>
      </c>
      <c r="I409" s="31">
        <f t="shared" si="81"/>
        <v>138.94001429940889</v>
      </c>
      <c r="J409" t="b">
        <f t="shared" si="82"/>
        <v>1</v>
      </c>
      <c r="K409" t="b">
        <f t="shared" si="83"/>
        <v>0</v>
      </c>
      <c r="L409" t="b">
        <f t="shared" si="84"/>
        <v>0</v>
      </c>
      <c r="M409" t="b">
        <f t="shared" si="85"/>
        <v>1</v>
      </c>
      <c r="N409" t="b">
        <f t="shared" si="86"/>
        <v>0</v>
      </c>
      <c r="O409">
        <f t="shared" si="90"/>
        <v>11</v>
      </c>
      <c r="P409" s="31">
        <f t="shared" si="87"/>
        <v>291.79395704995841</v>
      </c>
      <c r="Q409" t="str">
        <f t="shared" si="88"/>
        <v>WT</v>
      </c>
      <c r="R409" s="32"/>
      <c r="S409" t="str">
        <f t="shared" si="89"/>
        <v>WT</v>
      </c>
    </row>
    <row r="410" spans="1:19" x14ac:dyDescent="0.2">
      <c r="A410" t="s">
        <v>846</v>
      </c>
      <c r="B410" s="29">
        <f t="shared" si="78"/>
        <v>45904.372267203456</v>
      </c>
      <c r="C410" s="29">
        <f t="shared" si="79"/>
        <v>45904.705600536792</v>
      </c>
      <c r="D410">
        <v>-31.980967209999999</v>
      </c>
      <c r="E410">
        <v>115.817316382</v>
      </c>
      <c r="F410">
        <v>1.155</v>
      </c>
      <c r="G410">
        <v>0</v>
      </c>
      <c r="H410" s="30">
        <f t="shared" si="80"/>
        <v>5.0076699815690517</v>
      </c>
      <c r="I410" s="31">
        <f t="shared" si="81"/>
        <v>133.24160301609791</v>
      </c>
      <c r="J410" t="b">
        <f t="shared" si="82"/>
        <v>1</v>
      </c>
      <c r="K410" t="b">
        <f t="shared" si="83"/>
        <v>0</v>
      </c>
      <c r="L410" t="b">
        <f t="shared" si="84"/>
        <v>0</v>
      </c>
      <c r="M410" t="b">
        <f t="shared" si="85"/>
        <v>1</v>
      </c>
      <c r="N410" t="b">
        <f t="shared" si="86"/>
        <v>0</v>
      </c>
      <c r="O410">
        <f t="shared" si="90"/>
        <v>11</v>
      </c>
      <c r="P410" s="31">
        <f t="shared" si="87"/>
        <v>291.79395704995841</v>
      </c>
      <c r="Q410" t="str">
        <f t="shared" si="88"/>
        <v>WT</v>
      </c>
      <c r="R410" s="32"/>
      <c r="S410" t="str">
        <f t="shared" si="89"/>
        <v>WT</v>
      </c>
    </row>
    <row r="411" spans="1:19" x14ac:dyDescent="0.2">
      <c r="A411" t="s">
        <v>847</v>
      </c>
      <c r="B411" s="29">
        <f t="shared" si="78"/>
        <v>45904.3723251626</v>
      </c>
      <c r="C411" s="29">
        <f t="shared" si="79"/>
        <v>45904.705658495935</v>
      </c>
      <c r="D411">
        <v>-31.980971915000001</v>
      </c>
      <c r="E411">
        <v>115.817246881</v>
      </c>
      <c r="F411">
        <v>1.3129999999999999</v>
      </c>
      <c r="G411">
        <v>0</v>
      </c>
      <c r="H411" s="30">
        <f t="shared" si="80"/>
        <v>5.1914970623329282</v>
      </c>
      <c r="I411" s="31">
        <f t="shared" si="81"/>
        <v>126.84437066895856</v>
      </c>
      <c r="J411" t="b">
        <f t="shared" si="82"/>
        <v>1</v>
      </c>
      <c r="K411" t="b">
        <f t="shared" si="83"/>
        <v>0</v>
      </c>
      <c r="L411" t="b">
        <f t="shared" si="84"/>
        <v>0</v>
      </c>
      <c r="M411" t="b">
        <f t="shared" si="85"/>
        <v>1</v>
      </c>
      <c r="N411" t="b">
        <f t="shared" si="86"/>
        <v>0</v>
      </c>
      <c r="O411">
        <f t="shared" si="90"/>
        <v>11</v>
      </c>
      <c r="P411" s="31">
        <f t="shared" si="87"/>
        <v>291.79395704995841</v>
      </c>
      <c r="Q411" t="str">
        <f t="shared" si="88"/>
        <v>WT</v>
      </c>
      <c r="R411" s="32"/>
      <c r="S411" t="str">
        <f t="shared" si="89"/>
        <v>WT</v>
      </c>
    </row>
    <row r="412" spans="1:19" x14ac:dyDescent="0.2">
      <c r="A412" t="s">
        <v>848</v>
      </c>
      <c r="B412" s="29">
        <f t="shared" si="78"/>
        <v>45904.372385249371</v>
      </c>
      <c r="C412" s="29">
        <f t="shared" si="79"/>
        <v>45904.705718582707</v>
      </c>
      <c r="D412">
        <v>-31.981011242000001</v>
      </c>
      <c r="E412">
        <v>115.817185788</v>
      </c>
      <c r="F412">
        <v>1.393</v>
      </c>
      <c r="G412">
        <v>0</v>
      </c>
      <c r="H412" s="30">
        <f t="shared" si="80"/>
        <v>5.0056055188179016</v>
      </c>
      <c r="I412" s="31">
        <f t="shared" si="81"/>
        <v>120.02360464431166</v>
      </c>
      <c r="J412" t="b">
        <f t="shared" si="82"/>
        <v>1</v>
      </c>
      <c r="K412" t="b">
        <f t="shared" si="83"/>
        <v>0</v>
      </c>
      <c r="L412" t="b">
        <f t="shared" si="84"/>
        <v>0</v>
      </c>
      <c r="M412" t="b">
        <f t="shared" si="85"/>
        <v>1</v>
      </c>
      <c r="N412" t="b">
        <f t="shared" si="86"/>
        <v>0</v>
      </c>
      <c r="O412">
        <f t="shared" si="90"/>
        <v>11</v>
      </c>
      <c r="P412" s="31">
        <f t="shared" si="87"/>
        <v>291.79395704995841</v>
      </c>
      <c r="Q412" t="str">
        <f t="shared" si="88"/>
        <v>WT</v>
      </c>
      <c r="R412" s="32"/>
      <c r="S412" t="str">
        <f t="shared" si="89"/>
        <v>WT</v>
      </c>
    </row>
    <row r="413" spans="1:19" x14ac:dyDescent="0.2">
      <c r="A413" t="s">
        <v>849</v>
      </c>
      <c r="B413" s="29">
        <f t="shared" si="78"/>
        <v>45904.37244318462</v>
      </c>
      <c r="C413" s="29">
        <f t="shared" si="79"/>
        <v>45904.705776517956</v>
      </c>
      <c r="D413">
        <v>-31.981067781</v>
      </c>
      <c r="E413">
        <v>115.817169721</v>
      </c>
      <c r="F413">
        <v>1.292</v>
      </c>
      <c r="G413">
        <v>0</v>
      </c>
      <c r="H413" s="30">
        <f t="shared" si="80"/>
        <v>5.2228298736736178</v>
      </c>
      <c r="I413" s="31">
        <f t="shared" si="81"/>
        <v>116.85147593702875</v>
      </c>
      <c r="J413" t="b">
        <f t="shared" si="82"/>
        <v>1</v>
      </c>
      <c r="K413" t="b">
        <f t="shared" si="83"/>
        <v>0</v>
      </c>
      <c r="L413" t="b">
        <f t="shared" si="84"/>
        <v>0</v>
      </c>
      <c r="M413" t="b">
        <f t="shared" si="85"/>
        <v>1</v>
      </c>
      <c r="N413" t="b">
        <f t="shared" si="86"/>
        <v>0</v>
      </c>
      <c r="O413">
        <f t="shared" si="90"/>
        <v>11</v>
      </c>
      <c r="P413" s="31">
        <f t="shared" si="87"/>
        <v>291.79395704995841</v>
      </c>
      <c r="Q413" t="str">
        <f t="shared" si="88"/>
        <v>WT</v>
      </c>
      <c r="R413" s="32"/>
      <c r="S413" t="str">
        <f t="shared" si="89"/>
        <v>WT</v>
      </c>
    </row>
    <row r="414" spans="1:19" x14ac:dyDescent="0.2">
      <c r="A414" t="s">
        <v>850</v>
      </c>
      <c r="B414" s="29">
        <f t="shared" si="78"/>
        <v>45904.37250363404</v>
      </c>
      <c r="C414" s="29">
        <f t="shared" si="79"/>
        <v>45904.705836967376</v>
      </c>
      <c r="D414">
        <v>-31.981126407000001</v>
      </c>
      <c r="E414">
        <v>115.817169319</v>
      </c>
      <c r="F414">
        <v>1.248</v>
      </c>
      <c r="G414">
        <v>0</v>
      </c>
      <c r="H414" s="30">
        <f t="shared" si="80"/>
        <v>5.1717608235776424</v>
      </c>
      <c r="I414" s="31">
        <f t="shared" si="81"/>
        <v>115.36042099685635</v>
      </c>
      <c r="J414" t="b">
        <f t="shared" si="82"/>
        <v>1</v>
      </c>
      <c r="K414" t="b">
        <f t="shared" si="83"/>
        <v>0</v>
      </c>
      <c r="L414" t="b">
        <f t="shared" si="84"/>
        <v>0</v>
      </c>
      <c r="M414" t="b">
        <f t="shared" si="85"/>
        <v>1</v>
      </c>
      <c r="N414" t="b">
        <f t="shared" si="86"/>
        <v>0</v>
      </c>
      <c r="O414">
        <f t="shared" si="90"/>
        <v>11</v>
      </c>
      <c r="P414" s="31">
        <f t="shared" si="87"/>
        <v>291.79395704995841</v>
      </c>
      <c r="Q414" t="str">
        <f t="shared" si="88"/>
        <v>WT</v>
      </c>
      <c r="R414" s="32"/>
      <c r="S414" t="str">
        <f t="shared" si="89"/>
        <v>WT</v>
      </c>
    </row>
    <row r="415" spans="1:19" x14ac:dyDescent="0.2">
      <c r="A415" t="s">
        <v>851</v>
      </c>
      <c r="B415" s="29">
        <f t="shared" si="78"/>
        <v>45904.372563492383</v>
      </c>
      <c r="C415" s="29">
        <f t="shared" si="79"/>
        <v>45904.705896825719</v>
      </c>
      <c r="D415">
        <v>-31.981187037000002</v>
      </c>
      <c r="E415">
        <v>115.817167987</v>
      </c>
      <c r="F415">
        <v>1.304</v>
      </c>
      <c r="G415">
        <v>0</v>
      </c>
      <c r="H415" s="30">
        <f t="shared" si="80"/>
        <v>5.0084696151316166</v>
      </c>
      <c r="I415" s="31">
        <f t="shared" si="81"/>
        <v>114.10441182127052</v>
      </c>
      <c r="J415" t="b">
        <f t="shared" si="82"/>
        <v>1</v>
      </c>
      <c r="K415" t="b">
        <f t="shared" si="83"/>
        <v>0</v>
      </c>
      <c r="L415" t="b">
        <f t="shared" si="84"/>
        <v>0</v>
      </c>
      <c r="M415" t="b">
        <f t="shared" si="85"/>
        <v>1</v>
      </c>
      <c r="N415" t="b">
        <f t="shared" si="86"/>
        <v>0</v>
      </c>
      <c r="O415">
        <f t="shared" si="90"/>
        <v>11</v>
      </c>
      <c r="P415" s="31">
        <f t="shared" si="87"/>
        <v>291.79395704995841</v>
      </c>
      <c r="Q415" t="str">
        <f t="shared" si="88"/>
        <v>WT</v>
      </c>
      <c r="R415" s="32"/>
      <c r="S415" t="str">
        <f t="shared" si="89"/>
        <v>WT</v>
      </c>
    </row>
    <row r="416" spans="1:19" x14ac:dyDescent="0.2">
      <c r="A416" t="s">
        <v>852</v>
      </c>
      <c r="B416" s="29">
        <f t="shared" si="78"/>
        <v>45904.372621460781</v>
      </c>
      <c r="C416" s="29">
        <f t="shared" si="79"/>
        <v>45904.705954794117</v>
      </c>
      <c r="D416">
        <v>-31.981246036000002</v>
      </c>
      <c r="E416">
        <v>115.817168572</v>
      </c>
      <c r="F416">
        <v>1.31</v>
      </c>
      <c r="G416">
        <v>0</v>
      </c>
      <c r="H416" s="30">
        <f t="shared" si="80"/>
        <v>5.0161233404651284</v>
      </c>
      <c r="I416" s="31">
        <f t="shared" si="81"/>
        <v>113.43165918458605</v>
      </c>
      <c r="J416" t="b">
        <f t="shared" si="82"/>
        <v>1</v>
      </c>
      <c r="K416" t="b">
        <f t="shared" si="83"/>
        <v>0</v>
      </c>
      <c r="L416" t="b">
        <f t="shared" si="84"/>
        <v>0</v>
      </c>
      <c r="M416" t="b">
        <f t="shared" si="85"/>
        <v>1</v>
      </c>
      <c r="N416" t="b">
        <f t="shared" si="86"/>
        <v>0</v>
      </c>
      <c r="O416">
        <f t="shared" si="90"/>
        <v>11</v>
      </c>
      <c r="P416" s="31">
        <f t="shared" si="87"/>
        <v>291.79395704995841</v>
      </c>
      <c r="Q416" t="str">
        <f t="shared" si="88"/>
        <v>WT</v>
      </c>
      <c r="R416" s="32"/>
      <c r="S416" t="str">
        <f t="shared" si="89"/>
        <v>WT</v>
      </c>
    </row>
    <row r="417" spans="1:19" x14ac:dyDescent="0.2">
      <c r="A417" t="s">
        <v>853</v>
      </c>
      <c r="B417" s="29">
        <f t="shared" si="78"/>
        <v>45904.372679517764</v>
      </c>
      <c r="C417" s="29">
        <f t="shared" si="79"/>
        <v>45904.7060128511</v>
      </c>
      <c r="D417">
        <v>-31.981304380000001</v>
      </c>
      <c r="E417">
        <v>115.81716645</v>
      </c>
      <c r="F417">
        <v>1.294</v>
      </c>
      <c r="G417">
        <v>0</v>
      </c>
      <c r="H417" s="30">
        <f t="shared" si="80"/>
        <v>5.1811841782182455</v>
      </c>
      <c r="I417" s="31">
        <f t="shared" si="81"/>
        <v>112.88255067266806</v>
      </c>
      <c r="J417" t="b">
        <f t="shared" si="82"/>
        <v>1</v>
      </c>
      <c r="K417" t="b">
        <f t="shared" si="83"/>
        <v>0</v>
      </c>
      <c r="L417" t="b">
        <f t="shared" si="84"/>
        <v>0</v>
      </c>
      <c r="M417" t="b">
        <f t="shared" si="85"/>
        <v>1</v>
      </c>
      <c r="N417" t="b">
        <f t="shared" si="86"/>
        <v>0</v>
      </c>
      <c r="O417">
        <f t="shared" si="90"/>
        <v>11</v>
      </c>
      <c r="P417" s="31">
        <f t="shared" si="87"/>
        <v>291.79395704995841</v>
      </c>
      <c r="Q417" t="str">
        <f t="shared" si="88"/>
        <v>WT</v>
      </c>
      <c r="R417" s="32"/>
      <c r="S417" t="str">
        <f t="shared" si="89"/>
        <v>WT</v>
      </c>
    </row>
    <row r="418" spans="1:19" x14ac:dyDescent="0.2">
      <c r="A418" t="s">
        <v>854</v>
      </c>
      <c r="B418" s="29">
        <f t="shared" si="78"/>
        <v>45904.372739485174</v>
      </c>
      <c r="C418" s="29">
        <f t="shared" si="79"/>
        <v>45904.70607281851</v>
      </c>
      <c r="D418">
        <v>-31.981362828999998</v>
      </c>
      <c r="E418">
        <v>115.817164186</v>
      </c>
      <c r="F418">
        <v>1.2549999999999999</v>
      </c>
      <c r="G418">
        <v>0</v>
      </c>
      <c r="H418" s="30">
        <f t="shared" si="80"/>
        <v>5.0118051934987307</v>
      </c>
      <c r="I418" s="31">
        <f t="shared" si="81"/>
        <v>112.69216493751522</v>
      </c>
      <c r="J418" t="b">
        <f t="shared" si="82"/>
        <v>1</v>
      </c>
      <c r="K418" t="b">
        <f t="shared" si="83"/>
        <v>0</v>
      </c>
      <c r="L418" t="b">
        <f t="shared" si="84"/>
        <v>0</v>
      </c>
      <c r="M418" t="b">
        <f t="shared" si="85"/>
        <v>1</v>
      </c>
      <c r="N418" t="b">
        <f t="shared" si="86"/>
        <v>0</v>
      </c>
      <c r="O418">
        <f t="shared" si="90"/>
        <v>11</v>
      </c>
      <c r="P418" s="31">
        <f t="shared" si="87"/>
        <v>291.79395704995841</v>
      </c>
      <c r="Q418" t="str">
        <f t="shared" si="88"/>
        <v>WT</v>
      </c>
      <c r="R418" s="32"/>
      <c r="S418" t="str">
        <f t="shared" si="89"/>
        <v>WT</v>
      </c>
    </row>
    <row r="419" spans="1:19" x14ac:dyDescent="0.2">
      <c r="A419" t="s">
        <v>855</v>
      </c>
      <c r="B419" s="29">
        <f t="shared" si="78"/>
        <v>45904.372797492179</v>
      </c>
      <c r="C419" s="29">
        <f t="shared" si="79"/>
        <v>45904.706130825514</v>
      </c>
      <c r="D419">
        <v>-31.981377200000001</v>
      </c>
      <c r="E419">
        <v>115.817159686</v>
      </c>
      <c r="F419">
        <v>0.33</v>
      </c>
      <c r="G419">
        <v>0</v>
      </c>
      <c r="H419" s="30">
        <f t="shared" si="80"/>
        <v>5.1853954559192061</v>
      </c>
      <c r="I419" s="31">
        <f t="shared" si="81"/>
        <v>112.33126298758289</v>
      </c>
      <c r="J419" t="b">
        <f t="shared" si="82"/>
        <v>1</v>
      </c>
      <c r="K419" t="b">
        <f t="shared" si="83"/>
        <v>0</v>
      </c>
      <c r="L419" t="b">
        <f t="shared" si="84"/>
        <v>0</v>
      </c>
      <c r="M419" t="b">
        <f t="shared" si="85"/>
        <v>1</v>
      </c>
      <c r="N419" t="b">
        <f t="shared" si="86"/>
        <v>0</v>
      </c>
      <c r="O419">
        <f t="shared" si="90"/>
        <v>11</v>
      </c>
      <c r="P419" s="31">
        <f t="shared" si="87"/>
        <v>291.79395704995841</v>
      </c>
      <c r="Q419" t="str">
        <f t="shared" si="88"/>
        <v>WT</v>
      </c>
      <c r="R419" s="32"/>
      <c r="S419" t="str">
        <f t="shared" si="89"/>
        <v>WT</v>
      </c>
    </row>
    <row r="420" spans="1:19" x14ac:dyDescent="0.2">
      <c r="A420" t="s">
        <v>856</v>
      </c>
      <c r="B420" s="29">
        <f t="shared" si="78"/>
        <v>45904.37285750833</v>
      </c>
      <c r="C420" s="29">
        <f t="shared" si="79"/>
        <v>45904.706190841665</v>
      </c>
      <c r="D420">
        <v>-31.981339981000001</v>
      </c>
      <c r="E420">
        <v>115.817160468</v>
      </c>
      <c r="F420">
        <v>0.79800000000000004</v>
      </c>
      <c r="G420">
        <v>0</v>
      </c>
      <c r="H420" s="30">
        <f t="shared" si="80"/>
        <v>5.1944793434813619</v>
      </c>
      <c r="I420" s="31">
        <f t="shared" si="81"/>
        <v>112.28785090065431</v>
      </c>
      <c r="J420" t="b">
        <f t="shared" si="82"/>
        <v>1</v>
      </c>
      <c r="K420" t="b">
        <f t="shared" si="83"/>
        <v>0</v>
      </c>
      <c r="L420" t="b">
        <f t="shared" si="84"/>
        <v>0</v>
      </c>
      <c r="M420" t="b">
        <f t="shared" si="85"/>
        <v>1</v>
      </c>
      <c r="N420" t="b">
        <f t="shared" si="86"/>
        <v>0</v>
      </c>
      <c r="O420">
        <f t="shared" si="90"/>
        <v>11</v>
      </c>
      <c r="P420" s="31">
        <f t="shared" si="87"/>
        <v>291.79395704995841</v>
      </c>
      <c r="Q420" t="str">
        <f t="shared" si="88"/>
        <v>WT</v>
      </c>
      <c r="R420" s="32"/>
      <c r="S420" t="str">
        <f t="shared" si="89"/>
        <v>WT</v>
      </c>
    </row>
    <row r="421" spans="1:19" x14ac:dyDescent="0.2">
      <c r="A421" t="s">
        <v>857</v>
      </c>
      <c r="B421" s="29">
        <f t="shared" si="78"/>
        <v>45904.372917629618</v>
      </c>
      <c r="C421" s="29">
        <f t="shared" si="79"/>
        <v>45904.706250962954</v>
      </c>
      <c r="D421">
        <v>-31.981315732999999</v>
      </c>
      <c r="E421">
        <v>115.817125629</v>
      </c>
      <c r="F421">
        <v>0.81799999999999995</v>
      </c>
      <c r="G421">
        <v>0</v>
      </c>
      <c r="H421" s="30">
        <f t="shared" si="80"/>
        <v>5.0147969042882323</v>
      </c>
      <c r="I421" s="31">
        <f t="shared" si="81"/>
        <v>109.00798569858526</v>
      </c>
      <c r="J421" t="b">
        <f t="shared" si="82"/>
        <v>1</v>
      </c>
      <c r="K421" t="b">
        <f t="shared" si="83"/>
        <v>0</v>
      </c>
      <c r="L421" t="b">
        <f t="shared" si="84"/>
        <v>0</v>
      </c>
      <c r="M421" t="b">
        <f t="shared" si="85"/>
        <v>1</v>
      </c>
      <c r="N421" t="b">
        <f t="shared" si="86"/>
        <v>0</v>
      </c>
      <c r="O421">
        <f t="shared" si="90"/>
        <v>11</v>
      </c>
      <c r="P421" s="31">
        <f t="shared" si="87"/>
        <v>291.79395704995841</v>
      </c>
      <c r="Q421" t="str">
        <f t="shared" si="88"/>
        <v>WT</v>
      </c>
      <c r="R421" s="32"/>
      <c r="S421" t="str">
        <f t="shared" si="89"/>
        <v>WT</v>
      </c>
    </row>
    <row r="422" spans="1:19" x14ac:dyDescent="0.2">
      <c r="A422" t="s">
        <v>858</v>
      </c>
      <c r="B422" s="29">
        <f t="shared" si="78"/>
        <v>45904.372975671249</v>
      </c>
      <c r="C422" s="29">
        <f t="shared" si="79"/>
        <v>45904.706309004585</v>
      </c>
      <c r="D422">
        <v>-31.981313209</v>
      </c>
      <c r="E422">
        <v>115.817060525</v>
      </c>
      <c r="F422">
        <v>1.226</v>
      </c>
      <c r="G422">
        <v>0</v>
      </c>
      <c r="H422" s="30">
        <f t="shared" si="80"/>
        <v>5.0010937498882413</v>
      </c>
      <c r="I422" s="31">
        <f t="shared" si="81"/>
        <v>102.87291798261688</v>
      </c>
      <c r="J422" t="b">
        <f t="shared" si="82"/>
        <v>1</v>
      </c>
      <c r="K422" t="b">
        <f t="shared" si="83"/>
        <v>0</v>
      </c>
      <c r="L422" t="b">
        <f t="shared" si="84"/>
        <v>0</v>
      </c>
      <c r="M422" t="b">
        <f t="shared" si="85"/>
        <v>1</v>
      </c>
      <c r="N422" t="b">
        <f t="shared" si="86"/>
        <v>0</v>
      </c>
      <c r="O422">
        <f t="shared" si="90"/>
        <v>11</v>
      </c>
      <c r="P422" s="31">
        <f t="shared" si="87"/>
        <v>291.79395704995841</v>
      </c>
      <c r="Q422" t="str">
        <f t="shared" si="88"/>
        <v>WT</v>
      </c>
      <c r="R422" s="32"/>
      <c r="S422" t="str">
        <f t="shared" si="89"/>
        <v>WT</v>
      </c>
    </row>
    <row r="423" spans="1:19" x14ac:dyDescent="0.2">
      <c r="A423" t="s">
        <v>859</v>
      </c>
      <c r="B423" s="29">
        <f t="shared" si="78"/>
        <v>45904.373033554279</v>
      </c>
      <c r="C423" s="29">
        <f t="shared" si="79"/>
        <v>45904.706366887614</v>
      </c>
      <c r="D423">
        <v>-31.981315932000001</v>
      </c>
      <c r="E423">
        <v>115.816991116</v>
      </c>
      <c r="F423">
        <v>1.31</v>
      </c>
      <c r="G423">
        <v>0</v>
      </c>
      <c r="H423" s="30">
        <f t="shared" si="80"/>
        <v>5.2191648865118623</v>
      </c>
      <c r="I423" s="31">
        <f t="shared" si="81"/>
        <v>96.322167452808955</v>
      </c>
      <c r="J423" t="b">
        <f t="shared" si="82"/>
        <v>1</v>
      </c>
      <c r="K423" t="b">
        <f t="shared" si="83"/>
        <v>0</v>
      </c>
      <c r="L423" t="b">
        <f t="shared" si="84"/>
        <v>0</v>
      </c>
      <c r="M423" t="b">
        <f t="shared" si="85"/>
        <v>1</v>
      </c>
      <c r="N423" t="b">
        <f t="shared" si="86"/>
        <v>0</v>
      </c>
      <c r="O423">
        <f t="shared" si="90"/>
        <v>11</v>
      </c>
      <c r="P423" s="31">
        <f t="shared" si="87"/>
        <v>291.79395704995841</v>
      </c>
      <c r="Q423" t="str">
        <f t="shared" si="88"/>
        <v>WT</v>
      </c>
      <c r="R423" s="32"/>
      <c r="S423" t="str">
        <f t="shared" si="89"/>
        <v>WT</v>
      </c>
    </row>
    <row r="424" spans="1:19" x14ac:dyDescent="0.2">
      <c r="A424" t="s">
        <v>860</v>
      </c>
      <c r="B424" s="29">
        <f t="shared" si="78"/>
        <v>45904.37309396128</v>
      </c>
      <c r="C424" s="29">
        <f t="shared" si="79"/>
        <v>45904.706427294615</v>
      </c>
      <c r="D424">
        <v>-31.981315919</v>
      </c>
      <c r="E424">
        <v>115.81692006</v>
      </c>
      <c r="F424">
        <v>1.284</v>
      </c>
      <c r="G424">
        <v>0</v>
      </c>
      <c r="H424" s="30">
        <f t="shared" si="80"/>
        <v>5.1904824329540133</v>
      </c>
      <c r="I424" s="31">
        <f t="shared" si="81"/>
        <v>89.621293574830858</v>
      </c>
      <c r="J424" t="b">
        <f t="shared" si="82"/>
        <v>1</v>
      </c>
      <c r="K424" t="b">
        <f t="shared" si="83"/>
        <v>0</v>
      </c>
      <c r="L424" t="b">
        <f t="shared" si="84"/>
        <v>0</v>
      </c>
      <c r="M424" t="b">
        <f t="shared" si="85"/>
        <v>1</v>
      </c>
      <c r="N424" t="b">
        <f t="shared" si="86"/>
        <v>0</v>
      </c>
      <c r="O424">
        <f t="shared" si="90"/>
        <v>11</v>
      </c>
      <c r="P424" s="31">
        <f t="shared" si="87"/>
        <v>291.79395704995841</v>
      </c>
      <c r="Q424" t="str">
        <f t="shared" si="88"/>
        <v>WT</v>
      </c>
      <c r="R424" s="32"/>
      <c r="S424" t="str">
        <f t="shared" si="89"/>
        <v>WT</v>
      </c>
    </row>
    <row r="425" spans="1:19" x14ac:dyDescent="0.2">
      <c r="A425" t="s">
        <v>861</v>
      </c>
      <c r="B425" s="29">
        <f t="shared" si="78"/>
        <v>45904.373154036308</v>
      </c>
      <c r="C425" s="29">
        <f t="shared" si="79"/>
        <v>45904.706487369644</v>
      </c>
      <c r="D425">
        <v>-31.981320037</v>
      </c>
      <c r="E425">
        <v>115.81684313</v>
      </c>
      <c r="F425">
        <v>1.401</v>
      </c>
      <c r="G425">
        <v>0</v>
      </c>
      <c r="H425" s="30">
        <f t="shared" si="80"/>
        <v>5.1917384611442685</v>
      </c>
      <c r="I425" s="31">
        <f t="shared" si="81"/>
        <v>82.359192651037816</v>
      </c>
      <c r="J425" t="b">
        <f t="shared" si="82"/>
        <v>1</v>
      </c>
      <c r="K425" t="b">
        <f t="shared" si="83"/>
        <v>0</v>
      </c>
      <c r="L425" t="b">
        <f t="shared" si="84"/>
        <v>0</v>
      </c>
      <c r="M425" t="b">
        <f t="shared" si="85"/>
        <v>1</v>
      </c>
      <c r="N425" t="b">
        <f t="shared" si="86"/>
        <v>0</v>
      </c>
      <c r="O425">
        <f t="shared" si="90"/>
        <v>11</v>
      </c>
      <c r="P425" s="31">
        <f t="shared" si="87"/>
        <v>291.79395704995841</v>
      </c>
      <c r="Q425" t="str">
        <f t="shared" si="88"/>
        <v>WT</v>
      </c>
      <c r="R425" s="32"/>
      <c r="S425" t="str">
        <f t="shared" si="89"/>
        <v>WT</v>
      </c>
    </row>
    <row r="426" spans="1:19" x14ac:dyDescent="0.2">
      <c r="A426" t="s">
        <v>862</v>
      </c>
      <c r="B426" s="29">
        <f t="shared" si="78"/>
        <v>45904.373214125873</v>
      </c>
      <c r="C426" s="29">
        <f t="shared" si="79"/>
        <v>45904.706547459209</v>
      </c>
      <c r="D426">
        <v>-31.981319999</v>
      </c>
      <c r="E426">
        <v>115.816773239</v>
      </c>
      <c r="F426">
        <v>1.27</v>
      </c>
      <c r="G426">
        <v>0</v>
      </c>
      <c r="H426" s="30">
        <f t="shared" si="80"/>
        <v>5.1882545230910182</v>
      </c>
      <c r="I426" s="31">
        <f t="shared" si="81"/>
        <v>75.767934223497264</v>
      </c>
      <c r="J426" t="b">
        <f t="shared" si="82"/>
        <v>1</v>
      </c>
      <c r="K426" t="b">
        <f t="shared" si="83"/>
        <v>0</v>
      </c>
      <c r="L426" t="b">
        <f t="shared" si="84"/>
        <v>0</v>
      </c>
      <c r="M426" t="b">
        <f t="shared" si="85"/>
        <v>1</v>
      </c>
      <c r="N426" t="b">
        <f t="shared" si="86"/>
        <v>0</v>
      </c>
      <c r="O426">
        <f t="shared" si="90"/>
        <v>11</v>
      </c>
      <c r="P426" s="31">
        <f t="shared" si="87"/>
        <v>291.79395704995841</v>
      </c>
      <c r="Q426" t="str">
        <f t="shared" si="88"/>
        <v>WT</v>
      </c>
      <c r="R426" s="32"/>
      <c r="S426" t="str">
        <f t="shared" si="89"/>
        <v>WT</v>
      </c>
    </row>
    <row r="427" spans="1:19" x14ac:dyDescent="0.2">
      <c r="A427" t="s">
        <v>863</v>
      </c>
      <c r="B427" s="29">
        <f t="shared" si="78"/>
        <v>45904.373274175116</v>
      </c>
      <c r="C427" s="29">
        <f t="shared" si="79"/>
        <v>45904.706607508451</v>
      </c>
      <c r="D427">
        <v>-31.981320973999999</v>
      </c>
      <c r="E427">
        <v>115.81670300099999</v>
      </c>
      <c r="F427">
        <v>1.2769999999999999</v>
      </c>
      <c r="G427">
        <v>0</v>
      </c>
      <c r="H427" s="30">
        <f t="shared" si="80"/>
        <v>5.0087757641449571</v>
      </c>
      <c r="I427" s="31">
        <f t="shared" si="81"/>
        <v>69.14236020310328</v>
      </c>
      <c r="J427" t="b">
        <f t="shared" si="82"/>
        <v>1</v>
      </c>
      <c r="K427" t="b">
        <f t="shared" si="83"/>
        <v>0</v>
      </c>
      <c r="L427" t="b">
        <f t="shared" si="84"/>
        <v>0</v>
      </c>
      <c r="M427" t="b">
        <f t="shared" si="85"/>
        <v>1</v>
      </c>
      <c r="N427" t="b">
        <f t="shared" si="86"/>
        <v>0</v>
      </c>
      <c r="O427">
        <f t="shared" si="90"/>
        <v>11</v>
      </c>
      <c r="P427" s="31">
        <f t="shared" si="87"/>
        <v>291.79395704995841</v>
      </c>
      <c r="Q427" t="str">
        <f t="shared" si="88"/>
        <v>WT</v>
      </c>
      <c r="R427" s="32"/>
      <c r="S427" t="str">
        <f t="shared" si="89"/>
        <v>WT</v>
      </c>
    </row>
    <row r="428" spans="1:19" x14ac:dyDescent="0.2">
      <c r="A428" t="s">
        <v>864</v>
      </c>
      <c r="B428" s="29">
        <f t="shared" si="78"/>
        <v>45904.373332147057</v>
      </c>
      <c r="C428" s="29">
        <f t="shared" si="79"/>
        <v>45904.706665480393</v>
      </c>
      <c r="D428">
        <v>-31.981323698000001</v>
      </c>
      <c r="E428">
        <v>115.81663559</v>
      </c>
      <c r="F428">
        <v>1.2709999999999999</v>
      </c>
      <c r="G428">
        <v>0</v>
      </c>
      <c r="H428" s="30">
        <f t="shared" si="80"/>
        <v>5.192404193803668</v>
      </c>
      <c r="I428" s="31">
        <f t="shared" si="81"/>
        <v>62.780925238658419</v>
      </c>
      <c r="J428" t="b">
        <f t="shared" si="82"/>
        <v>1</v>
      </c>
      <c r="K428" t="b">
        <f t="shared" si="83"/>
        <v>0</v>
      </c>
      <c r="L428" t="b">
        <f t="shared" si="84"/>
        <v>0</v>
      </c>
      <c r="M428" t="b">
        <f t="shared" si="85"/>
        <v>1</v>
      </c>
      <c r="N428" t="b">
        <f t="shared" si="86"/>
        <v>0</v>
      </c>
      <c r="O428">
        <f t="shared" si="90"/>
        <v>11</v>
      </c>
      <c r="P428" s="31">
        <f t="shared" si="87"/>
        <v>291.79395704995841</v>
      </c>
      <c r="Q428" t="str">
        <f t="shared" si="88"/>
        <v>WT</v>
      </c>
      <c r="R428" s="32"/>
      <c r="S428" t="str">
        <f t="shared" si="89"/>
        <v>WT</v>
      </c>
    </row>
    <row r="429" spans="1:19" x14ac:dyDescent="0.2">
      <c r="A429" t="s">
        <v>865</v>
      </c>
      <c r="B429" s="29">
        <f t="shared" si="78"/>
        <v>45904.373392244328</v>
      </c>
      <c r="C429" s="29">
        <f t="shared" si="79"/>
        <v>45904.706725577664</v>
      </c>
      <c r="D429">
        <v>-31.981325955999999</v>
      </c>
      <c r="E429">
        <v>115.816566607</v>
      </c>
      <c r="F429">
        <v>1.254</v>
      </c>
      <c r="G429">
        <v>0</v>
      </c>
      <c r="H429" s="30">
        <f t="shared" si="80"/>
        <v>5.0067898817360401</v>
      </c>
      <c r="I429" s="31">
        <f t="shared" si="81"/>
        <v>56.272482398997376</v>
      </c>
      <c r="J429" t="b">
        <f t="shared" si="82"/>
        <v>1</v>
      </c>
      <c r="K429" t="b">
        <f t="shared" si="83"/>
        <v>0</v>
      </c>
      <c r="L429" t="b">
        <f t="shared" si="84"/>
        <v>0</v>
      </c>
      <c r="M429" t="b">
        <f t="shared" si="85"/>
        <v>1</v>
      </c>
      <c r="N429" t="b">
        <f t="shared" si="86"/>
        <v>0</v>
      </c>
      <c r="O429">
        <f t="shared" si="90"/>
        <v>11</v>
      </c>
      <c r="P429" s="31">
        <f t="shared" si="87"/>
        <v>291.79395704995841</v>
      </c>
      <c r="Q429" t="str">
        <f t="shared" si="88"/>
        <v>WT</v>
      </c>
      <c r="R429" s="32"/>
      <c r="S429" t="str">
        <f t="shared" si="89"/>
        <v>WT</v>
      </c>
    </row>
    <row r="430" spans="1:19" x14ac:dyDescent="0.2">
      <c r="A430" t="s">
        <v>866</v>
      </c>
      <c r="B430" s="29">
        <f t="shared" si="78"/>
        <v>45904.373450193285</v>
      </c>
      <c r="C430" s="29">
        <f t="shared" si="79"/>
        <v>45904.706783526621</v>
      </c>
      <c r="D430">
        <v>-31.981326103000001</v>
      </c>
      <c r="E430">
        <v>115.81650030599999</v>
      </c>
      <c r="F430">
        <v>1.2490000000000001</v>
      </c>
      <c r="G430">
        <v>0</v>
      </c>
      <c r="H430" s="30">
        <f t="shared" si="80"/>
        <v>5.2233774214982986</v>
      </c>
      <c r="I430" s="31">
        <f t="shared" si="81"/>
        <v>50.019195354343466</v>
      </c>
      <c r="J430" t="b">
        <f t="shared" si="82"/>
        <v>1</v>
      </c>
      <c r="K430" t="b">
        <f t="shared" si="83"/>
        <v>0</v>
      </c>
      <c r="L430" t="b">
        <f t="shared" si="84"/>
        <v>0</v>
      </c>
      <c r="M430" t="b">
        <f t="shared" si="85"/>
        <v>1</v>
      </c>
      <c r="N430" t="b">
        <f t="shared" si="86"/>
        <v>0</v>
      </c>
      <c r="O430">
        <f t="shared" si="90"/>
        <v>11</v>
      </c>
      <c r="P430" s="31">
        <f t="shared" si="87"/>
        <v>291.79395704995841</v>
      </c>
      <c r="Q430" t="str">
        <f t="shared" si="88"/>
        <v>WT</v>
      </c>
      <c r="R430" s="32"/>
      <c r="S430" t="str">
        <f t="shared" si="89"/>
        <v>WT</v>
      </c>
    </row>
    <row r="431" spans="1:19" x14ac:dyDescent="0.2">
      <c r="A431" t="s">
        <v>867</v>
      </c>
      <c r="B431" s="29">
        <f t="shared" si="78"/>
        <v>45904.373510649042</v>
      </c>
      <c r="C431" s="29">
        <f t="shared" si="79"/>
        <v>45904.706843982378</v>
      </c>
      <c r="D431">
        <v>-31.981325151</v>
      </c>
      <c r="E431">
        <v>115.816429701</v>
      </c>
      <c r="F431">
        <v>1.2749999999999999</v>
      </c>
      <c r="G431">
        <v>0</v>
      </c>
      <c r="H431" s="30">
        <f t="shared" si="80"/>
        <v>5.1793108228594065</v>
      </c>
      <c r="I431" s="31">
        <f t="shared" si="81"/>
        <v>43.361359623015225</v>
      </c>
      <c r="J431" t="b">
        <f t="shared" si="82"/>
        <v>1</v>
      </c>
      <c r="K431" t="b">
        <f t="shared" si="83"/>
        <v>0</v>
      </c>
      <c r="L431" t="b">
        <f t="shared" si="84"/>
        <v>0</v>
      </c>
      <c r="M431" t="b">
        <f t="shared" si="85"/>
        <v>1</v>
      </c>
      <c r="N431" t="b">
        <f t="shared" si="86"/>
        <v>0</v>
      </c>
      <c r="O431">
        <f t="shared" si="90"/>
        <v>11</v>
      </c>
      <c r="P431" s="31">
        <f t="shared" si="87"/>
        <v>291.79395704995841</v>
      </c>
      <c r="Q431" t="str">
        <f t="shared" si="88"/>
        <v>WT</v>
      </c>
      <c r="R431" s="32"/>
      <c r="S431" t="str">
        <f t="shared" si="89"/>
        <v>WT</v>
      </c>
    </row>
    <row r="432" spans="1:19" x14ac:dyDescent="0.2">
      <c r="A432" t="s">
        <v>868</v>
      </c>
      <c r="B432" s="29">
        <f t="shared" si="78"/>
        <v>45904.373570594769</v>
      </c>
      <c r="C432" s="29">
        <f t="shared" si="79"/>
        <v>45904.706903928105</v>
      </c>
      <c r="D432">
        <v>-31.981323956000001</v>
      </c>
      <c r="E432">
        <v>115.81636020800001</v>
      </c>
      <c r="F432">
        <v>1.266</v>
      </c>
      <c r="G432">
        <v>0</v>
      </c>
      <c r="H432" s="30">
        <f t="shared" si="80"/>
        <v>5.1923130406066775</v>
      </c>
      <c r="I432" s="31">
        <f t="shared" si="81"/>
        <v>36.809713191346077</v>
      </c>
      <c r="J432" t="b">
        <f t="shared" si="82"/>
        <v>1</v>
      </c>
      <c r="K432" t="b">
        <f t="shared" si="83"/>
        <v>0</v>
      </c>
      <c r="L432" t="b">
        <f t="shared" si="84"/>
        <v>0</v>
      </c>
      <c r="M432" t="b">
        <f t="shared" si="85"/>
        <v>1</v>
      </c>
      <c r="N432" t="b">
        <f t="shared" si="86"/>
        <v>0</v>
      </c>
      <c r="O432">
        <f t="shared" si="90"/>
        <v>11</v>
      </c>
      <c r="P432" s="31">
        <f t="shared" si="87"/>
        <v>291.79395704995841</v>
      </c>
      <c r="Q432" t="str">
        <f t="shared" si="88"/>
        <v>WT</v>
      </c>
      <c r="R432" s="32"/>
      <c r="S432" t="str">
        <f t="shared" si="89"/>
        <v>WT</v>
      </c>
    </row>
    <row r="433" spans="1:19" x14ac:dyDescent="0.2">
      <c r="A433" t="s">
        <v>869</v>
      </c>
      <c r="B433" s="29">
        <f t="shared" si="78"/>
        <v>45904.373630690985</v>
      </c>
      <c r="C433" s="29">
        <f t="shared" si="79"/>
        <v>45904.706964024321</v>
      </c>
      <c r="D433">
        <v>-31.981323433</v>
      </c>
      <c r="E433">
        <v>115.816291776</v>
      </c>
      <c r="F433">
        <v>1.2430000000000001</v>
      </c>
      <c r="G433">
        <v>0</v>
      </c>
      <c r="H433" s="30">
        <f t="shared" si="80"/>
        <v>5.1807114388793707</v>
      </c>
      <c r="I433" s="31">
        <f t="shared" si="81"/>
        <v>30.358002276012442</v>
      </c>
      <c r="J433" t="b">
        <f t="shared" si="82"/>
        <v>1</v>
      </c>
      <c r="K433" t="b">
        <f t="shared" si="83"/>
        <v>0</v>
      </c>
      <c r="L433" t="b">
        <f t="shared" si="84"/>
        <v>0</v>
      </c>
      <c r="M433" t="b">
        <f t="shared" si="85"/>
        <v>1</v>
      </c>
      <c r="N433" t="b">
        <f t="shared" si="86"/>
        <v>0</v>
      </c>
      <c r="O433">
        <f t="shared" si="90"/>
        <v>11</v>
      </c>
      <c r="P433" s="31">
        <f t="shared" si="87"/>
        <v>291.79395704995841</v>
      </c>
      <c r="Q433" t="str">
        <f t="shared" si="88"/>
        <v>WT</v>
      </c>
      <c r="R433" s="32"/>
      <c r="S433" t="str">
        <f t="shared" si="89"/>
        <v>WT</v>
      </c>
    </row>
    <row r="434" spans="1:19" x14ac:dyDescent="0.2">
      <c r="A434" t="s">
        <v>870</v>
      </c>
      <c r="B434" s="29">
        <f t="shared" si="78"/>
        <v>45904.373690652923</v>
      </c>
      <c r="C434" s="29">
        <f t="shared" si="79"/>
        <v>45904.707023986259</v>
      </c>
      <c r="D434">
        <v>-31.981323336999999</v>
      </c>
      <c r="E434">
        <v>115.816220727</v>
      </c>
      <c r="F434">
        <v>1.2929999999999999</v>
      </c>
      <c r="G434">
        <v>0</v>
      </c>
      <c r="H434" s="30">
        <f t="shared" si="80"/>
        <v>5.0051667261868715</v>
      </c>
      <c r="I434" s="31">
        <f t="shared" si="81"/>
        <v>23.659633515016658</v>
      </c>
      <c r="J434" t="b">
        <f t="shared" si="82"/>
        <v>1</v>
      </c>
      <c r="K434" t="b">
        <f t="shared" si="83"/>
        <v>0</v>
      </c>
      <c r="L434" t="b">
        <f t="shared" si="84"/>
        <v>1</v>
      </c>
      <c r="M434" t="b">
        <f t="shared" si="85"/>
        <v>1</v>
      </c>
      <c r="N434" t="b">
        <f t="shared" si="86"/>
        <v>0</v>
      </c>
      <c r="O434">
        <f t="shared" si="90"/>
        <v>12</v>
      </c>
      <c r="P434" s="31">
        <f t="shared" si="87"/>
        <v>30.623269826173782</v>
      </c>
      <c r="Q434" t="str">
        <f t="shared" si="88"/>
        <v>WT</v>
      </c>
      <c r="R434" s="32"/>
      <c r="S434" t="str">
        <f t="shared" si="89"/>
        <v>WT</v>
      </c>
    </row>
    <row r="435" spans="1:19" x14ac:dyDescent="0.2">
      <c r="A435" t="s">
        <v>871</v>
      </c>
      <c r="B435" s="29">
        <f t="shared" si="78"/>
        <v>45904.373748583093</v>
      </c>
      <c r="C435" s="29">
        <f t="shared" si="79"/>
        <v>45904.707081916429</v>
      </c>
      <c r="D435">
        <v>-31.981323157999999</v>
      </c>
      <c r="E435">
        <v>115.816154215</v>
      </c>
      <c r="F435">
        <v>1.2529999999999999</v>
      </c>
      <c r="G435">
        <v>0</v>
      </c>
      <c r="H435" s="30">
        <f t="shared" si="80"/>
        <v>5.1907602930441499</v>
      </c>
      <c r="I435" s="31">
        <f t="shared" si="81"/>
        <v>17.391410479256397</v>
      </c>
      <c r="J435" t="b">
        <f t="shared" si="82"/>
        <v>1</v>
      </c>
      <c r="K435" t="b">
        <f t="shared" si="83"/>
        <v>0</v>
      </c>
      <c r="L435" t="b">
        <f t="shared" si="84"/>
        <v>1</v>
      </c>
      <c r="M435" t="b">
        <f t="shared" si="85"/>
        <v>1</v>
      </c>
      <c r="N435" t="b">
        <f t="shared" si="86"/>
        <v>0</v>
      </c>
      <c r="O435">
        <f t="shared" si="90"/>
        <v>12</v>
      </c>
      <c r="P435" s="31">
        <f t="shared" si="87"/>
        <v>30.623269826173782</v>
      </c>
      <c r="Q435" t="str">
        <f t="shared" si="88"/>
        <v>WT</v>
      </c>
      <c r="R435" s="32"/>
      <c r="S435" t="str">
        <f t="shared" si="89"/>
        <v>WT</v>
      </c>
    </row>
    <row r="436" spans="1:19" x14ac:dyDescent="0.2">
      <c r="A436" t="s">
        <v>872</v>
      </c>
      <c r="B436" s="29">
        <f t="shared" si="78"/>
        <v>45904.373808661338</v>
      </c>
      <c r="C436" s="29">
        <f t="shared" si="79"/>
        <v>45904.707141994673</v>
      </c>
      <c r="D436">
        <v>-31.981323626999998</v>
      </c>
      <c r="E436">
        <v>115.816084456</v>
      </c>
      <c r="F436">
        <v>1.268</v>
      </c>
      <c r="G436">
        <v>0</v>
      </c>
      <c r="H436" s="30">
        <f t="shared" si="80"/>
        <v>5.0092309014871716</v>
      </c>
      <c r="I436" s="31">
        <f t="shared" si="81"/>
        <v>10.81847747125739</v>
      </c>
      <c r="J436" t="b">
        <f t="shared" si="82"/>
        <v>1</v>
      </c>
      <c r="K436" t="b">
        <f t="shared" si="83"/>
        <v>0</v>
      </c>
      <c r="L436" t="b">
        <f t="shared" si="84"/>
        <v>1</v>
      </c>
      <c r="M436" t="b">
        <f t="shared" si="85"/>
        <v>1</v>
      </c>
      <c r="N436" t="b">
        <f t="shared" si="86"/>
        <v>0</v>
      </c>
      <c r="O436">
        <f t="shared" si="90"/>
        <v>12</v>
      </c>
      <c r="P436" s="31">
        <f t="shared" si="87"/>
        <v>30.623269826173782</v>
      </c>
      <c r="Q436" t="str">
        <f t="shared" si="88"/>
        <v>WT</v>
      </c>
      <c r="R436" s="32"/>
      <c r="S436" t="str">
        <f t="shared" si="89"/>
        <v>WT</v>
      </c>
    </row>
    <row r="437" spans="1:19" x14ac:dyDescent="0.2">
      <c r="A437" t="s">
        <v>873</v>
      </c>
      <c r="B437" s="29">
        <f t="shared" si="78"/>
        <v>45904.373866638547</v>
      </c>
      <c r="C437" s="29">
        <f t="shared" si="79"/>
        <v>45904.707199971883</v>
      </c>
      <c r="D437">
        <v>-31.981323967000002</v>
      </c>
      <c r="E437">
        <v>115.816018814</v>
      </c>
      <c r="F437">
        <v>1.236</v>
      </c>
      <c r="G437">
        <v>0</v>
      </c>
      <c r="H437" s="30">
        <f t="shared" si="80"/>
        <v>5.2220610436052084</v>
      </c>
      <c r="I437" s="31">
        <f t="shared" si="81"/>
        <v>4.652647511213913</v>
      </c>
      <c r="J437" t="b">
        <f t="shared" si="82"/>
        <v>1</v>
      </c>
      <c r="K437" t="b">
        <f t="shared" si="83"/>
        <v>0</v>
      </c>
      <c r="L437" t="b">
        <f t="shared" si="84"/>
        <v>1</v>
      </c>
      <c r="M437" t="b">
        <f t="shared" si="85"/>
        <v>1</v>
      </c>
      <c r="N437" t="b">
        <f t="shared" si="86"/>
        <v>0</v>
      </c>
      <c r="O437">
        <f t="shared" si="90"/>
        <v>12</v>
      </c>
      <c r="P437" s="31">
        <f t="shared" si="87"/>
        <v>30.623269826173782</v>
      </c>
      <c r="Q437" t="str">
        <f t="shared" si="88"/>
        <v>WT</v>
      </c>
      <c r="R437" s="32"/>
      <c r="S437" t="str">
        <f t="shared" si="89"/>
        <v>WT</v>
      </c>
    </row>
    <row r="438" spans="1:19" x14ac:dyDescent="0.2">
      <c r="A438" t="s">
        <v>874</v>
      </c>
      <c r="B438" s="29">
        <f t="shared" si="78"/>
        <v>45904.373927079068</v>
      </c>
      <c r="C438" s="29">
        <f t="shared" si="79"/>
        <v>45904.707260412404</v>
      </c>
      <c r="D438">
        <v>-31.981328474000001</v>
      </c>
      <c r="E438">
        <v>115.815958161</v>
      </c>
      <c r="F438">
        <v>1.1000000000000001</v>
      </c>
      <c r="G438">
        <v>0</v>
      </c>
      <c r="H438" s="30">
        <f t="shared" si="80"/>
        <v>5.0069168675690889</v>
      </c>
      <c r="I438" s="31">
        <f t="shared" si="81"/>
        <v>1.1294479410128477</v>
      </c>
      <c r="J438" t="b">
        <f t="shared" si="82"/>
        <v>1</v>
      </c>
      <c r="K438" t="b">
        <f t="shared" si="83"/>
        <v>0</v>
      </c>
      <c r="L438" t="b">
        <f t="shared" si="84"/>
        <v>1</v>
      </c>
      <c r="M438" t="b">
        <f t="shared" si="85"/>
        <v>1</v>
      </c>
      <c r="N438" t="b">
        <f t="shared" si="86"/>
        <v>0</v>
      </c>
      <c r="O438">
        <f t="shared" si="90"/>
        <v>12</v>
      </c>
      <c r="P438" s="31">
        <f t="shared" si="87"/>
        <v>30.623269826173782</v>
      </c>
      <c r="Q438" t="str">
        <f t="shared" si="88"/>
        <v>WT</v>
      </c>
      <c r="R438" s="32"/>
      <c r="S438" t="str">
        <f t="shared" si="89"/>
        <v>WT</v>
      </c>
    </row>
    <row r="439" spans="1:19" x14ac:dyDescent="0.2">
      <c r="A439" t="s">
        <v>875</v>
      </c>
      <c r="B439" s="29">
        <f t="shared" si="78"/>
        <v>45904.373985029495</v>
      </c>
      <c r="C439" s="29">
        <f t="shared" si="79"/>
        <v>45904.707318362831</v>
      </c>
      <c r="D439">
        <v>-31.981332717000001</v>
      </c>
      <c r="E439">
        <v>115.815947597</v>
      </c>
      <c r="F439">
        <v>0.22</v>
      </c>
      <c r="G439">
        <v>0</v>
      </c>
      <c r="H439" s="30">
        <f t="shared" si="80"/>
        <v>5.189133994281292</v>
      </c>
      <c r="I439" s="31">
        <f t="shared" si="81"/>
        <v>2.1344915810828176</v>
      </c>
      <c r="J439" t="b">
        <f t="shared" si="82"/>
        <v>1</v>
      </c>
      <c r="K439" t="b">
        <f t="shared" si="83"/>
        <v>0</v>
      </c>
      <c r="L439" t="b">
        <f t="shared" si="84"/>
        <v>1</v>
      </c>
      <c r="M439" t="b">
        <f t="shared" si="85"/>
        <v>1</v>
      </c>
      <c r="N439" t="b">
        <f t="shared" si="86"/>
        <v>0</v>
      </c>
      <c r="O439">
        <f t="shared" si="90"/>
        <v>12</v>
      </c>
      <c r="P439" s="31">
        <f t="shared" si="87"/>
        <v>30.623269826173782</v>
      </c>
      <c r="Q439" t="str">
        <f t="shared" si="88"/>
        <v>WT</v>
      </c>
      <c r="R439" s="32"/>
      <c r="S439" t="str">
        <f t="shared" si="89"/>
        <v>WT</v>
      </c>
    </row>
    <row r="440" spans="1:19" x14ac:dyDescent="0.2">
      <c r="A440" t="s">
        <v>876</v>
      </c>
      <c r="B440" s="29">
        <f t="shared" si="78"/>
        <v>45904.374045088916</v>
      </c>
      <c r="C440" s="29">
        <f t="shared" si="79"/>
        <v>45904.707378422252</v>
      </c>
      <c r="D440">
        <v>-31.981333893999999</v>
      </c>
      <c r="E440">
        <v>115.81595072099999</v>
      </c>
      <c r="F440">
        <v>6.2E-2</v>
      </c>
      <c r="G440">
        <v>0</v>
      </c>
      <c r="H440" s="30">
        <v>0</v>
      </c>
      <c r="I440" s="31">
        <f t="shared" si="81"/>
        <v>1.8691957861627557</v>
      </c>
      <c r="J440" t="b">
        <f t="shared" si="82"/>
        <v>1</v>
      </c>
      <c r="K440" t="b">
        <f t="shared" si="83"/>
        <v>1</v>
      </c>
      <c r="L440" t="b">
        <f t="shared" si="84"/>
        <v>1</v>
      </c>
      <c r="M440" t="b">
        <f t="shared" si="85"/>
        <v>1</v>
      </c>
      <c r="N440" t="b">
        <f t="shared" si="86"/>
        <v>0</v>
      </c>
      <c r="O440">
        <f t="shared" si="90"/>
        <v>13</v>
      </c>
      <c r="P440" s="31">
        <f t="shared" si="87"/>
        <v>0</v>
      </c>
      <c r="Q440" t="str">
        <f t="shared" si="88"/>
        <v>WT</v>
      </c>
      <c r="R440" s="32"/>
      <c r="S440" t="str">
        <f t="shared" si="89"/>
        <v>WT</v>
      </c>
    </row>
  </sheetData>
  <autoFilter ref="A1:S440"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30"/>
  <sheetViews>
    <sheetView workbookViewId="0">
      <pane ySplit="4" topLeftCell="A5" activePane="bottomLeft" state="frozen"/>
      <selection pane="bottomLeft" activeCell="A2" sqref="A2:G2"/>
    </sheetView>
  </sheetViews>
  <sheetFormatPr baseColWidth="10" defaultColWidth="8.83203125" defaultRowHeight="15" x14ac:dyDescent="0.2"/>
  <cols>
    <col min="1" max="1" width="8" customWidth="1"/>
    <col min="2" max="2" width="26" customWidth="1"/>
    <col min="3" max="3" width="18" customWidth="1"/>
    <col min="4" max="4" width="14" customWidth="1"/>
    <col min="5" max="6" width="10" customWidth="1"/>
    <col min="7" max="7" width="70" customWidth="1"/>
  </cols>
  <sheetData>
    <row r="1" spans="1:7" ht="19" x14ac:dyDescent="0.25">
      <c r="A1" s="1" t="s">
        <v>877</v>
      </c>
    </row>
    <row r="2" spans="1:7" ht="40" customHeight="1" x14ac:dyDescent="0.2">
      <c r="A2" s="37" t="s">
        <v>878</v>
      </c>
      <c r="B2" s="38"/>
      <c r="C2" s="38"/>
      <c r="D2" s="38"/>
      <c r="E2" s="38"/>
      <c r="F2" s="38"/>
      <c r="G2" s="38"/>
    </row>
    <row r="4" spans="1:7" ht="16" x14ac:dyDescent="0.2">
      <c r="A4" s="10" t="s">
        <v>35</v>
      </c>
      <c r="B4" s="10" t="s">
        <v>34</v>
      </c>
      <c r="C4" s="10" t="s">
        <v>879</v>
      </c>
      <c r="D4" s="10" t="s">
        <v>880</v>
      </c>
      <c r="E4" s="10" t="s">
        <v>881</v>
      </c>
      <c r="F4" s="10" t="s">
        <v>882</v>
      </c>
      <c r="G4" s="10" t="s">
        <v>883</v>
      </c>
    </row>
    <row r="5" spans="1:7" ht="32" x14ac:dyDescent="0.2">
      <c r="A5" s="12" t="s">
        <v>50</v>
      </c>
      <c r="B5" s="11" t="s">
        <v>49</v>
      </c>
      <c r="C5" s="33" t="s">
        <v>884</v>
      </c>
      <c r="D5" s="14">
        <f>IF(AND(WINDOW_START&lt;&gt;"",WINDOW_END&lt;&gt;""),(WINDOW_END-WINDOW_START)*86400,SUM(Classification!$H:$H))</f>
        <v>2247.0106954453513</v>
      </c>
      <c r="E5" s="15">
        <f t="shared" ref="E5:E15" si="0">D5/3600</f>
        <v>0.6241696376237087</v>
      </c>
      <c r="F5" s="19">
        <f t="shared" ref="F5:F15" si="1">IFERROR(D5/CT_s,0)</f>
        <v>1</v>
      </c>
      <c r="G5" s="12" t="s">
        <v>885</v>
      </c>
    </row>
    <row r="6" spans="1:7" ht="16" x14ac:dyDescent="0.2">
      <c r="A6" s="12" t="s">
        <v>61</v>
      </c>
      <c r="B6" s="11" t="s">
        <v>60</v>
      </c>
      <c r="C6" s="34" t="s">
        <v>886</v>
      </c>
      <c r="D6" s="14">
        <f>SUMIFS(Classification!$H:$H,Classification!$S:$S,"UT")+UNOBS_UT_s</f>
        <v>0</v>
      </c>
      <c r="E6" s="15">
        <f t="shared" si="0"/>
        <v>0</v>
      </c>
      <c r="F6" s="19">
        <f t="shared" si="1"/>
        <v>0</v>
      </c>
      <c r="G6" s="12" t="s">
        <v>887</v>
      </c>
    </row>
    <row r="7" spans="1:7" ht="16" x14ac:dyDescent="0.2">
      <c r="A7" s="12" t="s">
        <v>70</v>
      </c>
      <c r="B7" s="11" t="s">
        <v>69</v>
      </c>
      <c r="C7" s="16" t="s">
        <v>888</v>
      </c>
      <c r="D7" s="14">
        <f>CT_s-UT_s</f>
        <v>2247.0106954453513</v>
      </c>
      <c r="E7" s="15">
        <f t="shared" si="0"/>
        <v>0.6241696376237087</v>
      </c>
      <c r="F7" s="19">
        <f t="shared" si="1"/>
        <v>1</v>
      </c>
      <c r="G7" s="12" t="s">
        <v>889</v>
      </c>
    </row>
    <row r="8" spans="1:7" ht="16" x14ac:dyDescent="0.2">
      <c r="A8" s="12" t="s">
        <v>80</v>
      </c>
      <c r="B8" s="11" t="s">
        <v>79</v>
      </c>
      <c r="C8" s="35" t="s">
        <v>890</v>
      </c>
      <c r="D8" s="14">
        <f>SUMIFS(Classification!$H:$H,Classification!$S:$S,"DT")</f>
        <v>0</v>
      </c>
      <c r="E8" s="15">
        <f t="shared" si="0"/>
        <v>0</v>
      </c>
      <c r="F8" s="19">
        <f t="shared" si="1"/>
        <v>0</v>
      </c>
      <c r="G8" s="12" t="s">
        <v>891</v>
      </c>
    </row>
    <row r="9" spans="1:7" ht="16" x14ac:dyDescent="0.2">
      <c r="A9" s="12" t="s">
        <v>89</v>
      </c>
      <c r="B9" s="11" t="s">
        <v>88</v>
      </c>
      <c r="C9" s="16" t="s">
        <v>888</v>
      </c>
      <c r="D9" s="14">
        <f>ST_s-DT_s</f>
        <v>2247.0106954453513</v>
      </c>
      <c r="E9" s="15">
        <f t="shared" si="0"/>
        <v>0.6241696376237087</v>
      </c>
      <c r="F9" s="19">
        <f t="shared" si="1"/>
        <v>1</v>
      </c>
      <c r="G9" s="12" t="s">
        <v>892</v>
      </c>
    </row>
    <row r="10" spans="1:7" ht="16" x14ac:dyDescent="0.2">
      <c r="A10" s="12" t="s">
        <v>98</v>
      </c>
      <c r="B10" s="11" t="s">
        <v>97</v>
      </c>
      <c r="C10" s="34" t="s">
        <v>886</v>
      </c>
      <c r="D10" s="14">
        <f>SUMIFS(Classification!$H:$H,Classification!$S:$S,"SB")+UNOBS_SB_s</f>
        <v>41.184775228612125</v>
      </c>
      <c r="E10" s="15">
        <f t="shared" si="0"/>
        <v>1.1440215341281146E-2</v>
      </c>
      <c r="F10" s="19">
        <f t="shared" si="1"/>
        <v>1.8328695680929732E-2</v>
      </c>
      <c r="G10" s="12" t="s">
        <v>893</v>
      </c>
    </row>
    <row r="11" spans="1:7" ht="16" x14ac:dyDescent="0.2">
      <c r="A11" s="12" t="s">
        <v>108</v>
      </c>
      <c r="B11" s="11" t="s">
        <v>107</v>
      </c>
      <c r="C11" s="16" t="s">
        <v>888</v>
      </c>
      <c r="D11" s="14">
        <f>AT_s-SB_s</f>
        <v>2205.8259202167392</v>
      </c>
      <c r="E11" s="15">
        <f t="shared" si="0"/>
        <v>0.61272942228242755</v>
      </c>
      <c r="F11" s="19">
        <f t="shared" si="1"/>
        <v>0.98167130431907024</v>
      </c>
      <c r="G11" s="12" t="s">
        <v>894</v>
      </c>
    </row>
    <row r="12" spans="1:7" ht="16" x14ac:dyDescent="0.2">
      <c r="A12" s="12" t="s">
        <v>118</v>
      </c>
      <c r="B12" s="11" t="s">
        <v>117</v>
      </c>
      <c r="C12" s="34" t="s">
        <v>886</v>
      </c>
      <c r="D12" s="14">
        <f>SUMIFS(Classification!$H:$H,Classification!$S:$S,"OD")</f>
        <v>20.753288408741355</v>
      </c>
      <c r="E12" s="15">
        <f t="shared" si="0"/>
        <v>5.7648023357614875E-3</v>
      </c>
      <c r="F12" s="19">
        <f t="shared" si="1"/>
        <v>9.2359544397398203E-3</v>
      </c>
      <c r="G12" s="12" t="s">
        <v>895</v>
      </c>
    </row>
    <row r="13" spans="1:7" ht="16" x14ac:dyDescent="0.2">
      <c r="A13" s="12" t="s">
        <v>128</v>
      </c>
      <c r="B13" s="11" t="s">
        <v>127</v>
      </c>
      <c r="C13" s="16" t="s">
        <v>888</v>
      </c>
      <c r="D13" s="14">
        <f>OT_s-OD_s</f>
        <v>2185.0726318079978</v>
      </c>
      <c r="E13" s="15">
        <f t="shared" si="0"/>
        <v>0.60696461994666606</v>
      </c>
      <c r="F13" s="19">
        <f t="shared" si="1"/>
        <v>0.97243534987933045</v>
      </c>
      <c r="G13" s="12" t="s">
        <v>896</v>
      </c>
    </row>
    <row r="14" spans="1:7" ht="16" x14ac:dyDescent="0.2">
      <c r="A14" s="12" t="s">
        <v>137</v>
      </c>
      <c r="B14" s="11" t="s">
        <v>136</v>
      </c>
      <c r="C14" s="35" t="s">
        <v>890</v>
      </c>
      <c r="D14" s="14">
        <f>SUMIFS(Classification!$H:$H,Classification!$S:$S,"NP")</f>
        <v>0</v>
      </c>
      <c r="E14" s="15">
        <f t="shared" si="0"/>
        <v>0</v>
      </c>
      <c r="F14" s="19">
        <f t="shared" si="1"/>
        <v>0</v>
      </c>
      <c r="G14" s="12" t="s">
        <v>897</v>
      </c>
    </row>
    <row r="15" spans="1:7" ht="16" x14ac:dyDescent="0.2">
      <c r="A15" s="12" t="s">
        <v>146</v>
      </c>
      <c r="B15" s="11" t="s">
        <v>145</v>
      </c>
      <c r="C15" s="16" t="s">
        <v>888</v>
      </c>
      <c r="D15" s="14">
        <f>WT_s-NP_s</f>
        <v>2185.0726318079978</v>
      </c>
      <c r="E15" s="15">
        <f t="shared" si="0"/>
        <v>0.60696461994666606</v>
      </c>
      <c r="F15" s="19">
        <f t="shared" si="1"/>
        <v>0.97243534987933045</v>
      </c>
      <c r="G15" s="12" t="s">
        <v>898</v>
      </c>
    </row>
    <row r="17" spans="1:7" ht="55" customHeight="1" x14ac:dyDescent="0.2">
      <c r="A17" s="4" t="s">
        <v>899</v>
      </c>
      <c r="B17" s="37" t="s">
        <v>900</v>
      </c>
      <c r="C17" s="38"/>
      <c r="D17" s="38"/>
      <c r="E17" s="38"/>
      <c r="F17" s="38"/>
      <c r="G17" s="38"/>
    </row>
    <row r="18" spans="1:7" ht="16" x14ac:dyDescent="0.2">
      <c r="A18" s="12" t="s">
        <v>901</v>
      </c>
      <c r="B18" s="11" t="s">
        <v>902</v>
      </c>
      <c r="C18" s="11" t="s">
        <v>903</v>
      </c>
      <c r="D18" s="11">
        <f>CT_s-SUM(Classification!$H:$H)</f>
        <v>0</v>
      </c>
      <c r="E18" s="11">
        <f>D18/3600</f>
        <v>0</v>
      </c>
      <c r="F18" s="11">
        <f>IFERROR(D18/CT_s,0)</f>
        <v>0</v>
      </c>
      <c r="G18" s="12" t="s">
        <v>904</v>
      </c>
    </row>
    <row r="19" spans="1:7" ht="48" x14ac:dyDescent="0.2">
      <c r="A19" s="12" t="s">
        <v>905</v>
      </c>
      <c r="B19" s="11" t="s">
        <v>906</v>
      </c>
      <c r="C19" s="11" t="s">
        <v>903</v>
      </c>
      <c r="D19" s="11">
        <f>IF(AND(WINDOW_START&lt;&gt;"",NOT(AND(WEEKDAY(WINDOW_START+UTC_OFFSET_H/24,2)&lt;=SERVICE_LAST_WEEKDAY,MOD(WINDOW_START+UTC_OFFSET_H/24,1)&gt;=SERVICE_START,MOD(WINDOW_START+UTC_OFFSET_H/24,1)&lt;SERVICE_END))),UNOBS_s,0)</f>
        <v>0</v>
      </c>
      <c r="E19" s="11">
        <f>D19/3600</f>
        <v>0</v>
      </c>
      <c r="F19" s="11">
        <f>IFERROR(D19/CT_s,0)</f>
        <v>0</v>
      </c>
      <c r="G19" s="11" t="s">
        <v>907</v>
      </c>
    </row>
    <row r="20" spans="1:7" ht="32" x14ac:dyDescent="0.2">
      <c r="A20" s="12" t="s">
        <v>908</v>
      </c>
      <c r="B20" s="11" t="s">
        <v>909</v>
      </c>
      <c r="C20" s="11" t="s">
        <v>903</v>
      </c>
      <c r="D20" s="11">
        <f>UNOBS_s-UNOBS_UT_s</f>
        <v>0</v>
      </c>
      <c r="E20" s="11">
        <f>D20/3600</f>
        <v>0</v>
      </c>
      <c r="F20" s="11">
        <f>IFERROR(D20/CT_s,0)</f>
        <v>0</v>
      </c>
      <c r="G20" s="12" t="s">
        <v>910</v>
      </c>
    </row>
    <row r="22" spans="1:7" x14ac:dyDescent="0.2">
      <c r="A22" s="4" t="s">
        <v>911</v>
      </c>
    </row>
    <row r="23" spans="1:7" ht="32" x14ac:dyDescent="0.2">
      <c r="A23" s="12" t="s">
        <v>912</v>
      </c>
      <c r="B23" s="11" t="s">
        <v>913</v>
      </c>
      <c r="C23" s="11" t="s">
        <v>903</v>
      </c>
      <c r="D23" s="15">
        <f>UT_s+DT_s+SB_s+OD_s+NP_s+PT_s-CT_s</f>
        <v>0</v>
      </c>
      <c r="E23" s="15">
        <f>D23/3600</f>
        <v>0</v>
      </c>
      <c r="F23" s="11"/>
      <c r="G23" s="12" t="s">
        <v>914</v>
      </c>
    </row>
    <row r="24" spans="1:7" ht="32" x14ac:dyDescent="0.2">
      <c r="A24" s="12" t="s">
        <v>915</v>
      </c>
      <c r="B24" s="11" t="s">
        <v>916</v>
      </c>
      <c r="C24" s="11" t="s">
        <v>903</v>
      </c>
      <c r="D24" s="15">
        <f>SUM(Classification!$H:$H)-(CT_s-UNOBS_s)</f>
        <v>0</v>
      </c>
      <c r="E24" s="15">
        <f>D24/3600</f>
        <v>0</v>
      </c>
      <c r="F24" s="11"/>
      <c r="G24" s="12" t="s">
        <v>917</v>
      </c>
    </row>
    <row r="25" spans="1:7" ht="32" x14ac:dyDescent="0.2">
      <c r="A25" s="12" t="s">
        <v>918</v>
      </c>
      <c r="B25" s="11" t="s">
        <v>919</v>
      </c>
      <c r="C25" s="11" t="s">
        <v>903</v>
      </c>
      <c r="D25" s="15">
        <f>WT_s-(SUMIFS(Classification!$H:$H,Classification!$S:$S,"WT")+SUMIFS(Classification!$H:$H,Classification!$S:$S,"NP"))</f>
        <v>0</v>
      </c>
      <c r="E25" s="15">
        <f>D25/3600</f>
        <v>0</v>
      </c>
      <c r="F25" s="11"/>
      <c r="G25" s="12" t="s">
        <v>920</v>
      </c>
    </row>
    <row r="27" spans="1:7" x14ac:dyDescent="0.2">
      <c r="A27" s="4" t="s">
        <v>921</v>
      </c>
    </row>
    <row r="28" spans="1:7" ht="16" x14ac:dyDescent="0.2">
      <c r="A28" s="11"/>
      <c r="B28" s="11" t="s">
        <v>922</v>
      </c>
      <c r="C28" s="11"/>
      <c r="D28" s="36">
        <f>MIN(Classification!$B:$B)</f>
        <v>45904.348038020682</v>
      </c>
      <c r="E28" s="11"/>
      <c r="F28" s="11"/>
      <c r="G28" s="11"/>
    </row>
    <row r="29" spans="1:7" ht="16" x14ac:dyDescent="0.2">
      <c r="A29" s="11"/>
      <c r="B29" s="11" t="s">
        <v>923</v>
      </c>
      <c r="C29" s="11"/>
      <c r="D29" s="36">
        <f>MAX(Classification!$B:$B)</f>
        <v>45904.374045088916</v>
      </c>
      <c r="E29" s="11"/>
      <c r="F29" s="11"/>
      <c r="G29" s="11"/>
    </row>
    <row r="30" spans="1:7" ht="16" x14ac:dyDescent="0.2">
      <c r="A30" s="11"/>
      <c r="B30" s="11" t="s">
        <v>924</v>
      </c>
      <c r="C30" s="11"/>
      <c r="D30" s="11">
        <f>COUNTA(Classification!$S:$S)-1</f>
        <v>439</v>
      </c>
      <c r="E30" s="11"/>
      <c r="F30" s="11"/>
      <c r="G30" s="11"/>
    </row>
  </sheetData>
  <mergeCells count="2">
    <mergeCell ref="A2:G2"/>
    <mergeCell ref="B17:G1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27</vt:i4>
      </vt:variant>
    </vt:vector>
  </HeadingPairs>
  <TitlesOfParts>
    <vt:vector size="35" baseType="lpstr">
      <vt:lpstr>Overview</vt:lpstr>
      <vt:lpstr>Layers</vt:lpstr>
      <vt:lpstr>KPIs</vt:lpstr>
      <vt:lpstr>Fields</vt:lpstr>
      <vt:lpstr>Future inputs</vt:lpstr>
      <vt:lpstr>Parameters</vt:lpstr>
      <vt:lpstr>Classification</vt:lpstr>
      <vt:lpstr>Summary</vt:lpstr>
      <vt:lpstr>AT_s</vt:lpstr>
      <vt:lpstr>CT_s</vt:lpstr>
      <vt:lpstr>DELAY_DWELL_S</vt:lpstr>
      <vt:lpstr>DEPOT_LAT</vt:lpstr>
      <vt:lpstr>DEPOT_LON</vt:lpstr>
      <vt:lpstr>DEPOT_RADIUS_M</vt:lpstr>
      <vt:lpstr>DT_s</vt:lpstr>
      <vt:lpstr>MAX_GAP_S</vt:lpstr>
      <vt:lpstr>NP_s</vt:lpstr>
      <vt:lpstr>OD_s</vt:lpstr>
      <vt:lpstr>OT_s</vt:lpstr>
      <vt:lpstr>PT_s</vt:lpstr>
      <vt:lpstr>SB_s</vt:lpstr>
      <vt:lpstr>SERVICE_END</vt:lpstr>
      <vt:lpstr>SERVICE_LAST_WEEKDAY</vt:lpstr>
      <vt:lpstr>SERVICE_START</vt:lpstr>
      <vt:lpstr>SPEED_STOP_MPS</vt:lpstr>
      <vt:lpstr>ST_s</vt:lpstr>
      <vt:lpstr>STANDBY_DWELL_S</vt:lpstr>
      <vt:lpstr>UNOBS_s</vt:lpstr>
      <vt:lpstr>UNOBS_SB_s</vt:lpstr>
      <vt:lpstr>UNOBS_UT_s</vt:lpstr>
      <vt:lpstr>UT_s</vt:lpstr>
      <vt:lpstr>UTC_OFFSET_H</vt:lpstr>
      <vt:lpstr>WINDOW_END</vt:lpstr>
      <vt:lpstr>WINDOW_START</vt:lpstr>
      <vt:lpstr>WT_s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Madhav Rajesh (23640243)</cp:lastModifiedBy>
  <dcterms:created xsi:type="dcterms:W3CDTF">2026-09-08T07:49:47Z</dcterms:created>
  <dcterms:modified xsi:type="dcterms:W3CDTF">2026-09-11T10:49:53Z</dcterms:modified>
</cp:coreProperties>
</file>